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ma\OneDrive\Documents\GitHub\DMSOL_FGBeams\PROB_05_NL_BKCHAPTER\"/>
    </mc:Choice>
  </mc:AlternateContent>
  <xr:revisionPtr revIDLastSave="0" documentId="13_ncr:1_{CFACEB1A-5B84-4567-9FEA-33B6C365F83D}" xr6:coauthVersionLast="47" xr6:coauthVersionMax="47" xr10:uidLastSave="{00000000-0000-0000-0000-000000000000}"/>
  <bookViews>
    <workbookView xWindow="-108" yWindow="-108" windowWidth="23256" windowHeight="13896" xr2:uid="{7F07F0A5-918A-4173-8B11-7951C33198E6}"/>
  </bookViews>
  <sheets>
    <sheet name="Load_Ste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M5" i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L6" i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M29" i="1" l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</calcChain>
</file>

<file path=xl/sharedStrings.xml><?xml version="1.0" encoding="utf-8"?>
<sst xmlns="http://schemas.openxmlformats.org/spreadsheetml/2006/main" count="22" uniqueCount="15">
  <si>
    <t>Exact</t>
  </si>
  <si>
    <t>p=1, NEM = 10</t>
  </si>
  <si>
    <t>p=1, NEM = 100</t>
  </si>
  <si>
    <t>p=1, NEM = 500</t>
  </si>
  <si>
    <t>p=2, NEM = 5</t>
  </si>
  <si>
    <t>p=3, NEM = 5</t>
  </si>
  <si>
    <t>p=4, NEM = 1</t>
  </si>
  <si>
    <t>n = 0</t>
  </si>
  <si>
    <t>n = 1</t>
  </si>
  <si>
    <t>n = 10</t>
  </si>
  <si>
    <t>Mesh</t>
  </si>
  <si>
    <t>Center deflection for different meshes and power-law index for linear analysis with q0 = 1 lb/in</t>
  </si>
  <si>
    <t>Load</t>
  </si>
  <si>
    <t>DLOAD</t>
  </si>
  <si>
    <t>Load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</si>
</sst>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0.00000"/>
    <numFmt numFmtId="171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70" fontId="1" fillId="0" borderId="0" xfId="0" applyNumberFormat="1" applyFont="1" applyAlignment="1">
      <alignment horizontal="center"/>
    </xf>
    <xf numFmtId="17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170" fontId="1" fillId="0" borderId="0" xfId="0" applyNumberFormat="1" applyFont="1"/>
    <xf numFmtId="171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Load_Steps!$M$4:$M$44</c:f>
              <c:numCache>
                <c:formatCode>0.00</c:formatCode>
                <c:ptCount val="41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</c:numCache>
            </c:numRef>
          </c:xVal>
          <c:yVal>
            <c:numRef>
              <c:f>Load_Steps!$N$4:$N$44</c:f>
              <c:numCache>
                <c:formatCode>0.00000</c:formatCode>
                <c:ptCount val="41"/>
                <c:pt idx="0" formatCode="General">
                  <c:v>0</c:v>
                </c:pt>
                <c:pt idx="1">
                  <c:v>0.124400603223736</c:v>
                </c:pt>
                <c:pt idx="2">
                  <c:v>0.22560850073896299</c:v>
                </c:pt>
                <c:pt idx="3">
                  <c:v>0.30470372039148302</c:v>
                </c:pt>
                <c:pt idx="4">
                  <c:v>0.368555786840851</c:v>
                </c:pt>
                <c:pt idx="5">
                  <c:v>0.42205484742970401</c:v>
                </c:pt>
                <c:pt idx="6">
                  <c:v>0.46822133978476299</c:v>
                </c:pt>
                <c:pt idx="7">
                  <c:v>0.50895844808622703</c:v>
                </c:pt>
                <c:pt idx="8">
                  <c:v>0.54552068923658303</c:v>
                </c:pt>
                <c:pt idx="9">
                  <c:v>0.57877241595447004</c:v>
                </c:pt>
                <c:pt idx="10">
                  <c:v>0.60933252767840396</c:v>
                </c:pt>
                <c:pt idx="11">
                  <c:v>0.63765882961743003</c:v>
                </c:pt>
                <c:pt idx="12">
                  <c:v>0.66409937938258201</c:v>
                </c:pt>
                <c:pt idx="13">
                  <c:v>0.68892501573466502</c:v>
                </c:pt>
                <c:pt idx="14">
                  <c:v>0.71235132313656901</c:v>
                </c:pt>
                <c:pt idx="15">
                  <c:v>0.73455050100794395</c:v>
                </c:pt>
                <c:pt idx="16">
                  <c:v>0.75566558933429295</c:v>
                </c:pt>
                <c:pt idx="17">
                  <c:v>0.77581465560028195</c:v>
                </c:pt>
                <c:pt idx="18">
                  <c:v>0.79509684824364302</c:v>
                </c:pt>
                <c:pt idx="19">
                  <c:v>0.81359627756400499</c:v>
                </c:pt>
                <c:pt idx="20">
                  <c:v>0.83138494644038097</c:v>
                </c:pt>
                <c:pt idx="21">
                  <c:v>0.84852499712784801</c:v>
                </c:pt>
                <c:pt idx="22">
                  <c:v>0.86507045725621401</c:v>
                </c:pt>
                <c:pt idx="23">
                  <c:v>0.88106861373578205</c:v>
                </c:pt>
                <c:pt idx="24">
                  <c:v>0.89656110567807201</c:v>
                </c:pt>
                <c:pt idx="25">
                  <c:v>0.911584803186827</c:v>
                </c:pt>
                <c:pt idx="26">
                  <c:v>0.92617252029321795</c:v>
                </c:pt>
                <c:pt idx="27">
                  <c:v>0.94035359852348099</c:v>
                </c:pt>
                <c:pt idx="28">
                  <c:v>0.95415438835723398</c:v>
                </c:pt>
                <c:pt idx="29">
                  <c:v>0.96759864931019202</c:v>
                </c:pt>
                <c:pt idx="30">
                  <c:v>0.98070788481167104</c:v>
                </c:pt>
                <c:pt idx="31">
                  <c:v>0.99350162413999299</c:v>
                </c:pt>
                <c:pt idx="32">
                  <c:v>1.00599766124045</c:v>
                </c:pt>
                <c:pt idx="33">
                  <c:v>1.0182122582592401</c:v>
                </c:pt>
                <c:pt idx="34">
                  <c:v>1.03016031971695</c:v>
                </c:pt>
                <c:pt idx="35">
                  <c:v>1.04185554237581</c:v>
                </c:pt>
                <c:pt idx="36">
                  <c:v>1.0533105448503699</c:v>
                </c:pt>
                <c:pt idx="37">
                  <c:v>1.06453698004803</c:v>
                </c:pt>
                <c:pt idx="38">
                  <c:v>1.07554563320333</c:v>
                </c:pt>
                <c:pt idx="39">
                  <c:v>1.0863465076552199</c:v>
                </c:pt>
                <c:pt idx="40">
                  <c:v>1.0969489001223101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BC6-4610-A6F9-9DFB56C890C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Load_Steps!$M$4:$M$44</c:f>
              <c:numCache>
                <c:formatCode>0.00</c:formatCode>
                <c:ptCount val="41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</c:numCache>
            </c:numRef>
          </c:xVal>
          <c:yVal>
            <c:numRef>
              <c:f>Load_Steps!$O$4:$O$44</c:f>
              <c:numCache>
                <c:formatCode>0.00000</c:formatCode>
                <c:ptCount val="41"/>
                <c:pt idx="0" formatCode="General">
                  <c:v>0</c:v>
                </c:pt>
                <c:pt idx="1">
                  <c:v>0.21320910238882201</c:v>
                </c:pt>
                <c:pt idx="2">
                  <c:v>0.37346863513123302</c:v>
                </c:pt>
                <c:pt idx="3">
                  <c:v>0.48035335586648298</c:v>
                </c:pt>
                <c:pt idx="4">
                  <c:v>0.55989357275343699</c:v>
                </c:pt>
                <c:pt idx="5">
                  <c:v>0.62382655978687895</c:v>
                </c:pt>
                <c:pt idx="6">
                  <c:v>0.67772494961072904</c:v>
                </c:pt>
                <c:pt idx="7">
                  <c:v>0.72461267568343202</c:v>
                </c:pt>
                <c:pt idx="8">
                  <c:v>0.766308123417068</c:v>
                </c:pt>
                <c:pt idx="9">
                  <c:v>0.80399049993091898</c:v>
                </c:pt>
                <c:pt idx="10">
                  <c:v>0.83846926216291995</c:v>
                </c:pt>
                <c:pt idx="11">
                  <c:v>0.87032509310938699</c:v>
                </c:pt>
                <c:pt idx="12">
                  <c:v>0.89998941738919702</c:v>
                </c:pt>
                <c:pt idx="13">
                  <c:v>0.92779303755859999</c:v>
                </c:pt>
                <c:pt idx="14">
                  <c:v>0.95399177731502405</c:v>
                </c:pt>
                <c:pt idx="15">
                  <c:v>0.97879307069907195</c:v>
                </c:pt>
                <c:pt idx="16">
                  <c:v>1.0023641982036999</c:v>
                </c:pt>
                <c:pt idx="17">
                  <c:v>1.0248429810372801</c:v>
                </c:pt>
                <c:pt idx="18">
                  <c:v>1.0463444161867601</c:v>
                </c:pt>
                <c:pt idx="19">
                  <c:v>1.06696552993313</c:v>
                </c:pt>
                <c:pt idx="20">
                  <c:v>1.08678899662022</c:v>
                </c:pt>
                <c:pt idx="21">
                  <c:v>1.1058858829495799</c:v>
                </c:pt>
                <c:pt idx="22">
                  <c:v>1.12431776076436</c:v>
                </c:pt>
                <c:pt idx="23">
                  <c:v>1.1421383558585001</c:v>
                </c:pt>
                <c:pt idx="24">
                  <c:v>1.15939485052663</c:v>
                </c:pt>
                <c:pt idx="25">
                  <c:v>1.1761289241845301</c:v>
                </c:pt>
                <c:pt idx="26">
                  <c:v>1.1923775929327001</c:v>
                </c:pt>
                <c:pt idx="27">
                  <c:v>1.20817389339325</c:v>
                </c:pt>
                <c:pt idx="28">
                  <c:v>1.2235474444025001</c:v>
                </c:pt>
                <c:pt idx="29">
                  <c:v>1.2385249118874599</c:v>
                </c:pt>
                <c:pt idx="30">
                  <c:v>1.25313039656553</c:v>
                </c:pt>
                <c:pt idx="31">
                  <c:v>1.2673857593259701</c:v>
                </c:pt>
                <c:pt idx="32">
                  <c:v>1.2813108960531101</c:v>
                </c:pt>
                <c:pt idx="33">
                  <c:v>1.2949239711358</c:v>
                </c:pt>
                <c:pt idx="34">
                  <c:v>1.3082416167961699</c:v>
                </c:pt>
                <c:pt idx="35">
                  <c:v>1.3212791044180801</c:v>
                </c:pt>
                <c:pt idx="36">
                  <c:v>1.3340504921041001</c:v>
                </c:pt>
                <c:pt idx="37">
                  <c:v>1.3465687526319201</c:v>
                </c:pt>
                <c:pt idx="38">
                  <c:v>1.3588458848090399</c:v>
                </c:pt>
                <c:pt idx="39">
                  <c:v>1.37089301064152</c:v>
                </c:pt>
                <c:pt idx="40">
                  <c:v>1.38272046065507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BC6-4610-A6F9-9DFB56C890C2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Load_Steps!$M$4:$M$44</c:f>
              <c:numCache>
                <c:formatCode>0.00</c:formatCode>
                <c:ptCount val="41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</c:numCache>
            </c:numRef>
          </c:xVal>
          <c:yVal>
            <c:numRef>
              <c:f>Load_Steps!$P$4:$P$44</c:f>
              <c:numCache>
                <c:formatCode>0.00000</c:formatCode>
                <c:ptCount val="41"/>
                <c:pt idx="0" formatCode="General">
                  <c:v>0</c:v>
                </c:pt>
                <c:pt idx="1">
                  <c:v>0.27668423094976202</c:v>
                </c:pt>
                <c:pt idx="2">
                  <c:v>0.45384772625332398</c:v>
                </c:pt>
                <c:pt idx="3">
                  <c:v>0.57098137601689503</c:v>
                </c:pt>
                <c:pt idx="4">
                  <c:v>0.65934338331550002</c:v>
                </c:pt>
                <c:pt idx="5">
                  <c:v>0.73116717816530297</c:v>
                </c:pt>
                <c:pt idx="6">
                  <c:v>0.79221875174524403</c:v>
                </c:pt>
                <c:pt idx="7">
                  <c:v>0.84565780862068796</c:v>
                </c:pt>
                <c:pt idx="8">
                  <c:v>0.89340594908548199</c:v>
                </c:pt>
                <c:pt idx="9">
                  <c:v>0.93672206900317101</c:v>
                </c:pt>
                <c:pt idx="10">
                  <c:v>0.97647792217026796</c:v>
                </c:pt>
                <c:pt idx="11">
                  <c:v>1.0133035657506</c:v>
                </c:pt>
                <c:pt idx="12">
                  <c:v>1.04767010745241</c:v>
                </c:pt>
                <c:pt idx="13">
                  <c:v>1.07994072249966</c:v>
                </c:pt>
                <c:pt idx="14">
                  <c:v>1.1103977922425701</c:v>
                </c:pt>
                <c:pt idx="15">
                  <c:v>1.1392710509630899</c:v>
                </c:pt>
                <c:pt idx="16">
                  <c:v>1.1667465295728801</c:v>
                </c:pt>
                <c:pt idx="17">
                  <c:v>1.1929780050393901</c:v>
                </c:pt>
                <c:pt idx="18">
                  <c:v>1.2180941685223901</c:v>
                </c:pt>
                <c:pt idx="19">
                  <c:v>1.2422038911558699</c:v>
                </c:pt>
                <c:pt idx="20">
                  <c:v>1.26540016520968</c:v>
                </c:pt>
                <c:pt idx="21">
                  <c:v>1.2877631034327299</c:v>
                </c:pt>
                <c:pt idx="22">
                  <c:v>1.30936225560217</c:v>
                </c:pt>
                <c:pt idx="23">
                  <c:v>1.33025842169575</c:v>
                </c:pt>
                <c:pt idx="24">
                  <c:v>1.35050508832723</c:v>
                </c:pt>
                <c:pt idx="25">
                  <c:v>1.37014957895023</c:v>
                </c:pt>
                <c:pt idx="26">
                  <c:v>1.3892339843175801</c:v>
                </c:pt>
                <c:pt idx="27">
                  <c:v>1.40779592180224</c:v>
                </c:pt>
                <c:pt idx="28">
                  <c:v>1.42586916039756</c:v>
                </c:pt>
                <c:pt idx="29">
                  <c:v>1.4434841390526201</c:v>
                </c:pt>
                <c:pt idx="30">
                  <c:v>1.46066839963429</c:v>
                </c:pt>
                <c:pt idx="31">
                  <c:v>1.47744695095206</c:v>
                </c:pt>
                <c:pt idx="32">
                  <c:v>1.4938425766830401</c:v>
                </c:pt>
                <c:pt idx="33">
                  <c:v>1.5098760973852701</c:v>
                </c:pt>
                <c:pt idx="34">
                  <c:v>1.52556659460957</c:v>
                </c:pt>
                <c:pt idx="35">
                  <c:v>1.54093160346197</c:v>
                </c:pt>
                <c:pt idx="36">
                  <c:v>1.55598727904303</c:v>
                </c:pt>
                <c:pt idx="37">
                  <c:v>1.5707485407147901</c:v>
                </c:pt>
                <c:pt idx="38">
                  <c:v>1.5852291978109001</c:v>
                </c:pt>
                <c:pt idx="39">
                  <c:v>1.59944205955281</c:v>
                </c:pt>
                <c:pt idx="40">
                  <c:v>1.6133990315315401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BC6-4610-A6F9-9DFB56C89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9602688"/>
        <c:axId val="1339603648"/>
      </c:scatterChart>
      <c:valAx>
        <c:axId val="1339602688"/>
        <c:scaling>
          <c:orientation val="minMax"/>
          <c:max val="10"/>
          <c:min val="0"/>
        </c:scaling>
        <c:delete val="0"/>
        <c:axPos val="b"/>
        <c:numFmt formatCode="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39603648"/>
        <c:crosses val="autoZero"/>
        <c:crossBetween val="midCat"/>
      </c:valAx>
      <c:valAx>
        <c:axId val="1339603648"/>
        <c:scaling>
          <c:orientation val="minMax"/>
          <c:max val="1.8"/>
        </c:scaling>
        <c:delete val="0"/>
        <c:axPos val="l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3960268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5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525780</xdr:colOff>
      <xdr:row>12</xdr:row>
      <xdr:rowOff>26670</xdr:rowOff>
    </xdr:from>
    <xdr:to>
      <xdr:col>8</xdr:col>
      <xdr:colOff>312420</xdr:colOff>
      <xdr:row>32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689806-393D-230E-8E1F-324F36953C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7D548-8B75-4D4D-AED9-7AC26A2885D5}">
  <dimension ref="C3:V44"/>
  <sheetViews>
    <sheetView tabSelected="1" topLeftCell="A4" workbookViewId="0">
      <selection activeCell="I8" sqref="I8"/>
    </sheetView>
  </sheetViews>
  <sheetFormatPr defaultRowHeight="13.8" x14ac:dyDescent="0.25"/>
  <cols>
    <col min="1" max="2" width="8.88671875" style="1"/>
    <col min="3" max="3" width="17.88671875" style="2" customWidth="1"/>
    <col min="4" max="4" width="17.88671875" style="3" customWidth="1"/>
    <col min="5" max="7" width="10.77734375" style="2" customWidth="1"/>
    <col min="8" max="10" width="8.88671875" style="1"/>
    <col min="11" max="11" width="11.21875" style="2" customWidth="1"/>
    <col min="12" max="13" width="11.88671875" style="2" customWidth="1"/>
    <col min="14" max="15" width="11.109375" style="2" customWidth="1"/>
    <col min="16" max="16" width="11.109375" style="1" customWidth="1"/>
    <col min="17" max="18" width="8.88671875" style="1"/>
    <col min="19" max="19" width="8.88671875" style="2"/>
    <col min="20" max="22" width="9.5546875" style="1" bestFit="1" customWidth="1"/>
    <col min="23" max="16384" width="8.88671875" style="1"/>
  </cols>
  <sheetData>
    <row r="3" spans="3:22" s="9" customFormat="1" ht="35.4" customHeight="1" x14ac:dyDescent="0.3">
      <c r="C3" s="7"/>
      <c r="D3" s="8" t="s">
        <v>11</v>
      </c>
      <c r="E3" s="8"/>
      <c r="F3" s="8"/>
      <c r="G3" s="8"/>
      <c r="K3" s="7" t="s">
        <v>13</v>
      </c>
      <c r="L3" s="7" t="s">
        <v>14</v>
      </c>
      <c r="M3" s="7" t="s">
        <v>12</v>
      </c>
      <c r="N3" s="7" t="s">
        <v>7</v>
      </c>
      <c r="O3" s="7" t="s">
        <v>8</v>
      </c>
      <c r="P3" s="7" t="s">
        <v>9</v>
      </c>
      <c r="S3" s="7" t="s">
        <v>12</v>
      </c>
      <c r="T3" s="7" t="s">
        <v>7</v>
      </c>
      <c r="U3" s="7" t="s">
        <v>8</v>
      </c>
      <c r="V3" s="7" t="s">
        <v>9</v>
      </c>
    </row>
    <row r="4" spans="3:22" x14ac:dyDescent="0.25">
      <c r="D4" s="3" t="s">
        <v>10</v>
      </c>
      <c r="E4" s="2" t="s">
        <v>7</v>
      </c>
      <c r="F4" s="2" t="s">
        <v>8</v>
      </c>
      <c r="G4" s="2" t="s">
        <v>9</v>
      </c>
      <c r="M4" s="12">
        <v>0</v>
      </c>
      <c r="N4" s="2">
        <v>0</v>
      </c>
      <c r="O4" s="2">
        <v>0</v>
      </c>
      <c r="P4" s="2">
        <v>0</v>
      </c>
      <c r="S4" s="2">
        <v>0.5</v>
      </c>
      <c r="T4" s="10">
        <v>0.22560850073896299</v>
      </c>
      <c r="U4" s="10">
        <v>0.37346863513123302</v>
      </c>
      <c r="V4" s="10">
        <v>0.45384772625332398</v>
      </c>
    </row>
    <row r="5" spans="3:22" x14ac:dyDescent="0.25">
      <c r="D5" s="3" t="s">
        <v>1</v>
      </c>
      <c r="E5" s="4">
        <v>3.9974999999999997E-2</v>
      </c>
      <c r="F5" s="4">
        <v>6.0039000000000002E-2</v>
      </c>
      <c r="G5" s="2">
        <v>0.100189</v>
      </c>
      <c r="K5" s="2">
        <v>0.25</v>
      </c>
      <c r="L5" s="2">
        <v>1</v>
      </c>
      <c r="M5" s="12">
        <f>M4+K5</f>
        <v>0.25</v>
      </c>
      <c r="N5" s="4">
        <v>0.124400603223736</v>
      </c>
      <c r="O5" s="4">
        <v>0.21320910238882201</v>
      </c>
      <c r="P5" s="4">
        <v>0.27668423094976202</v>
      </c>
      <c r="S5" s="11">
        <v>1</v>
      </c>
      <c r="T5" s="10">
        <v>0.368555786840851</v>
      </c>
      <c r="U5" s="10">
        <v>0.55989357275343699</v>
      </c>
      <c r="V5" s="10">
        <v>0.65934338331550002</v>
      </c>
    </row>
    <row r="6" spans="3:22" x14ac:dyDescent="0.25">
      <c r="D6" s="3" t="s">
        <v>2</v>
      </c>
      <c r="E6" s="4">
        <v>0.465061</v>
      </c>
      <c r="F6" s="4">
        <v>0.70880100000000001</v>
      </c>
      <c r="G6" s="2">
        <v>1.027145</v>
      </c>
      <c r="K6" s="2">
        <f>K5</f>
        <v>0.25</v>
      </c>
      <c r="L6" s="2">
        <f>L5+1</f>
        <v>2</v>
      </c>
      <c r="M6" s="12">
        <f t="shared" ref="M6:M44" si="0">M5+K6</f>
        <v>0.5</v>
      </c>
      <c r="N6" s="4">
        <v>0.22560850073896299</v>
      </c>
      <c r="O6" s="4">
        <v>0.37346863513123302</v>
      </c>
      <c r="P6" s="4">
        <v>0.45384772625332398</v>
      </c>
      <c r="S6" s="11">
        <v>2.5</v>
      </c>
      <c r="T6" s="10">
        <v>0.60933252767840396</v>
      </c>
      <c r="U6" s="10">
        <v>0.83846926216291995</v>
      </c>
      <c r="V6" s="10">
        <v>0.97647792217026796</v>
      </c>
    </row>
    <row r="7" spans="3:22" x14ac:dyDescent="0.25">
      <c r="D7" s="3" t="s">
        <v>3</v>
      </c>
      <c r="E7" s="4">
        <v>0.51846999999999999</v>
      </c>
      <c r="F7" s="4">
        <v>0.79176800000000003</v>
      </c>
      <c r="G7" s="2">
        <v>1.1282970000000001</v>
      </c>
      <c r="K7" s="2">
        <f t="shared" ref="K7:K44" si="1">K6</f>
        <v>0.25</v>
      </c>
      <c r="L7" s="2">
        <f t="shared" ref="L7:L44" si="2">L6+1</f>
        <v>3</v>
      </c>
      <c r="M7" s="12">
        <f t="shared" si="0"/>
        <v>0.75</v>
      </c>
      <c r="N7" s="4">
        <v>0.30470372039148302</v>
      </c>
      <c r="O7" s="4">
        <v>0.48035335586648298</v>
      </c>
      <c r="P7" s="4">
        <v>0.57098137601689503</v>
      </c>
      <c r="S7" s="11">
        <v>5</v>
      </c>
      <c r="T7" s="10">
        <v>0.83138494644038097</v>
      </c>
      <c r="U7" s="10">
        <v>1.08678899662022</v>
      </c>
      <c r="V7" s="10">
        <v>1.26540016520968</v>
      </c>
    </row>
    <row r="8" spans="3:22" x14ac:dyDescent="0.25">
      <c r="D8" s="3" t="s">
        <v>4</v>
      </c>
      <c r="E8" s="4">
        <v>0.74565599999999999</v>
      </c>
      <c r="F8" s="4">
        <v>1.141435</v>
      </c>
      <c r="G8" s="2">
        <v>1.614363</v>
      </c>
      <c r="K8" s="2">
        <f t="shared" si="1"/>
        <v>0.25</v>
      </c>
      <c r="L8" s="2">
        <f t="shared" si="2"/>
        <v>4</v>
      </c>
      <c r="M8" s="12">
        <f t="shared" si="0"/>
        <v>1</v>
      </c>
      <c r="N8" s="4">
        <v>0.368555786840851</v>
      </c>
      <c r="O8" s="4">
        <v>0.55989357275343699</v>
      </c>
      <c r="P8" s="4">
        <v>0.65934338331550002</v>
      </c>
      <c r="S8" s="11">
        <v>7.5</v>
      </c>
      <c r="T8" s="10">
        <v>0.98070788481167104</v>
      </c>
      <c r="U8" s="10">
        <v>1.25313039656553</v>
      </c>
      <c r="V8" s="10">
        <v>1.46066839963429</v>
      </c>
    </row>
    <row r="9" spans="3:22" x14ac:dyDescent="0.25">
      <c r="D9" s="3" t="s">
        <v>5</v>
      </c>
      <c r="E9" s="4">
        <v>0.52381</v>
      </c>
      <c r="F9" s="4">
        <v>0.79999900000000002</v>
      </c>
      <c r="G9" s="2">
        <v>1.1389149999999999</v>
      </c>
      <c r="K9" s="2">
        <f t="shared" si="1"/>
        <v>0.25</v>
      </c>
      <c r="L9" s="2">
        <f t="shared" si="2"/>
        <v>5</v>
      </c>
      <c r="M9" s="12">
        <f t="shared" si="0"/>
        <v>1.25</v>
      </c>
      <c r="N9" s="4">
        <v>0.42205484742970401</v>
      </c>
      <c r="O9" s="4">
        <v>0.62382655978687895</v>
      </c>
      <c r="P9" s="4">
        <v>0.73116717816530297</v>
      </c>
      <c r="S9" s="11">
        <v>9</v>
      </c>
      <c r="T9" s="10">
        <v>1.0533105448503699</v>
      </c>
      <c r="U9" s="10">
        <v>1.3340504921041001</v>
      </c>
      <c r="V9" s="10">
        <v>1.55598727904303</v>
      </c>
    </row>
    <row r="10" spans="3:22" x14ac:dyDescent="0.25">
      <c r="D10" s="3" t="s">
        <v>6</v>
      </c>
      <c r="E10" s="5">
        <v>0.52096299999999995</v>
      </c>
      <c r="F10" s="5">
        <v>0.79564999999999997</v>
      </c>
      <c r="G10" s="6">
        <v>1.132946</v>
      </c>
      <c r="K10" s="2">
        <f t="shared" si="1"/>
        <v>0.25</v>
      </c>
      <c r="L10" s="2">
        <f t="shared" si="2"/>
        <v>6</v>
      </c>
      <c r="M10" s="12">
        <f t="shared" si="0"/>
        <v>1.5</v>
      </c>
      <c r="N10" s="4">
        <v>0.46822133978476299</v>
      </c>
      <c r="O10" s="4">
        <v>0.67772494961072904</v>
      </c>
      <c r="P10" s="4">
        <v>0.79221875174524403</v>
      </c>
      <c r="S10" s="11">
        <v>9.75</v>
      </c>
      <c r="T10" s="10">
        <v>1.0863465076552199</v>
      </c>
      <c r="U10" s="10">
        <v>1.37089301064152</v>
      </c>
      <c r="V10" s="10">
        <v>1.59944205955281</v>
      </c>
    </row>
    <row r="11" spans="3:22" x14ac:dyDescent="0.25">
      <c r="D11" s="3" t="s">
        <v>0</v>
      </c>
      <c r="E11" s="4">
        <v>0.52096299999999995</v>
      </c>
      <c r="F11" s="4">
        <v>0.79564999999999997</v>
      </c>
      <c r="G11" s="2">
        <v>1.132946</v>
      </c>
      <c r="K11" s="2">
        <f t="shared" si="1"/>
        <v>0.25</v>
      </c>
      <c r="L11" s="2">
        <f t="shared" si="2"/>
        <v>7</v>
      </c>
      <c r="M11" s="12">
        <f t="shared" si="0"/>
        <v>1.75</v>
      </c>
      <c r="N11" s="4">
        <v>0.50895844808622703</v>
      </c>
      <c r="O11" s="4">
        <v>0.72461267568343202</v>
      </c>
      <c r="P11" s="4">
        <v>0.84565780862068796</v>
      </c>
      <c r="S11" s="11">
        <v>10</v>
      </c>
      <c r="T11" s="10">
        <v>1.0969489001223101</v>
      </c>
      <c r="U11" s="10">
        <v>1.38272046065507</v>
      </c>
      <c r="V11" s="10">
        <v>1.6133990315315401</v>
      </c>
    </row>
    <row r="12" spans="3:22" x14ac:dyDescent="0.25">
      <c r="K12" s="2">
        <f t="shared" si="1"/>
        <v>0.25</v>
      </c>
      <c r="L12" s="2">
        <f t="shared" si="2"/>
        <v>8</v>
      </c>
      <c r="M12" s="12">
        <f t="shared" si="0"/>
        <v>2</v>
      </c>
      <c r="N12" s="4">
        <v>0.54552068923658303</v>
      </c>
      <c r="O12" s="4">
        <v>0.766308123417068</v>
      </c>
      <c r="P12" s="4">
        <v>0.89340594908548199</v>
      </c>
    </row>
    <row r="13" spans="3:22" x14ac:dyDescent="0.25">
      <c r="K13" s="2">
        <f t="shared" si="1"/>
        <v>0.25</v>
      </c>
      <c r="L13" s="2">
        <f t="shared" si="2"/>
        <v>9</v>
      </c>
      <c r="M13" s="12">
        <f t="shared" si="0"/>
        <v>2.25</v>
      </c>
      <c r="N13" s="4">
        <v>0.57877241595447004</v>
      </c>
      <c r="O13" s="4">
        <v>0.80399049993091898</v>
      </c>
      <c r="P13" s="4">
        <v>0.93672206900317101</v>
      </c>
    </row>
    <row r="14" spans="3:22" x14ac:dyDescent="0.25">
      <c r="K14" s="2">
        <f t="shared" si="1"/>
        <v>0.25</v>
      </c>
      <c r="L14" s="2">
        <f t="shared" si="2"/>
        <v>10</v>
      </c>
      <c r="M14" s="12">
        <f t="shared" si="0"/>
        <v>2.5</v>
      </c>
      <c r="N14" s="4">
        <v>0.60933252767840396</v>
      </c>
      <c r="O14" s="4">
        <v>0.83846926216291995</v>
      </c>
      <c r="P14" s="4">
        <v>0.97647792217026796</v>
      </c>
    </row>
    <row r="15" spans="3:22" x14ac:dyDescent="0.25">
      <c r="K15" s="2">
        <f t="shared" si="1"/>
        <v>0.25</v>
      </c>
      <c r="L15" s="2">
        <f t="shared" si="2"/>
        <v>11</v>
      </c>
      <c r="M15" s="12">
        <f t="shared" si="0"/>
        <v>2.75</v>
      </c>
      <c r="N15" s="4">
        <v>0.63765882961743003</v>
      </c>
      <c r="O15" s="4">
        <v>0.87032509310938699</v>
      </c>
      <c r="P15" s="4">
        <v>1.0133035657506</v>
      </c>
    </row>
    <row r="16" spans="3:22" x14ac:dyDescent="0.25">
      <c r="K16" s="2">
        <f t="shared" si="1"/>
        <v>0.25</v>
      </c>
      <c r="L16" s="2">
        <f t="shared" si="2"/>
        <v>12</v>
      </c>
      <c r="M16" s="12">
        <f t="shared" si="0"/>
        <v>3</v>
      </c>
      <c r="N16" s="4">
        <v>0.66409937938258201</v>
      </c>
      <c r="O16" s="4">
        <v>0.89998941738919702</v>
      </c>
      <c r="P16" s="4">
        <v>1.04767010745241</v>
      </c>
    </row>
    <row r="17" spans="11:16" x14ac:dyDescent="0.25">
      <c r="K17" s="2">
        <f t="shared" si="1"/>
        <v>0.25</v>
      </c>
      <c r="L17" s="2">
        <f t="shared" si="2"/>
        <v>13</v>
      </c>
      <c r="M17" s="12">
        <f t="shared" si="0"/>
        <v>3.25</v>
      </c>
      <c r="N17" s="4">
        <v>0.68892501573466502</v>
      </c>
      <c r="O17" s="4">
        <v>0.92779303755859999</v>
      </c>
      <c r="P17" s="4">
        <v>1.07994072249966</v>
      </c>
    </row>
    <row r="18" spans="11:16" x14ac:dyDescent="0.25">
      <c r="K18" s="2">
        <f t="shared" si="1"/>
        <v>0.25</v>
      </c>
      <c r="L18" s="2">
        <f t="shared" si="2"/>
        <v>14</v>
      </c>
      <c r="M18" s="12">
        <f t="shared" si="0"/>
        <v>3.5</v>
      </c>
      <c r="N18" s="4">
        <v>0.71235132313656901</v>
      </c>
      <c r="O18" s="4">
        <v>0.95399177731502405</v>
      </c>
      <c r="P18" s="4">
        <v>1.1103977922425701</v>
      </c>
    </row>
    <row r="19" spans="11:16" x14ac:dyDescent="0.25">
      <c r="K19" s="2">
        <f t="shared" si="1"/>
        <v>0.25</v>
      </c>
      <c r="L19" s="2">
        <f t="shared" si="2"/>
        <v>15</v>
      </c>
      <c r="M19" s="12">
        <f t="shared" si="0"/>
        <v>3.75</v>
      </c>
      <c r="N19" s="4">
        <v>0.73455050100794395</v>
      </c>
      <c r="O19" s="4">
        <v>0.97879307069907195</v>
      </c>
      <c r="P19" s="4">
        <v>1.1392710509630899</v>
      </c>
    </row>
    <row r="20" spans="11:16" x14ac:dyDescent="0.25">
      <c r="K20" s="2">
        <f t="shared" si="1"/>
        <v>0.25</v>
      </c>
      <c r="L20" s="2">
        <f t="shared" si="2"/>
        <v>16</v>
      </c>
      <c r="M20" s="12">
        <f t="shared" si="0"/>
        <v>4</v>
      </c>
      <c r="N20" s="4">
        <v>0.75566558933429295</v>
      </c>
      <c r="O20" s="4">
        <v>1.0023641982036999</v>
      </c>
      <c r="P20" s="4">
        <v>1.1667465295728801</v>
      </c>
    </row>
    <row r="21" spans="11:16" x14ac:dyDescent="0.25">
      <c r="K21" s="2">
        <f t="shared" si="1"/>
        <v>0.25</v>
      </c>
      <c r="L21" s="2">
        <f t="shared" si="2"/>
        <v>17</v>
      </c>
      <c r="M21" s="12">
        <f t="shared" si="0"/>
        <v>4.25</v>
      </c>
      <c r="N21" s="4">
        <v>0.77581465560028195</v>
      </c>
      <c r="O21" s="4">
        <v>1.0248429810372801</v>
      </c>
      <c r="P21" s="4">
        <v>1.1929780050393901</v>
      </c>
    </row>
    <row r="22" spans="11:16" x14ac:dyDescent="0.25">
      <c r="K22" s="2">
        <f t="shared" si="1"/>
        <v>0.25</v>
      </c>
      <c r="L22" s="2">
        <f t="shared" si="2"/>
        <v>18</v>
      </c>
      <c r="M22" s="12">
        <f t="shared" si="0"/>
        <v>4.5</v>
      </c>
      <c r="N22" s="4">
        <v>0.79509684824364302</v>
      </c>
      <c r="O22" s="4">
        <v>1.0463444161867601</v>
      </c>
      <c r="P22" s="4">
        <v>1.2180941685223901</v>
      </c>
    </row>
    <row r="23" spans="11:16" x14ac:dyDescent="0.25">
      <c r="K23" s="2">
        <f t="shared" si="1"/>
        <v>0.25</v>
      </c>
      <c r="L23" s="2">
        <f t="shared" si="2"/>
        <v>19</v>
      </c>
      <c r="M23" s="12">
        <f t="shared" si="0"/>
        <v>4.75</v>
      </c>
      <c r="N23" s="4">
        <v>0.81359627756400499</v>
      </c>
      <c r="O23" s="4">
        <v>1.06696552993313</v>
      </c>
      <c r="P23" s="4">
        <v>1.2422038911558699</v>
      </c>
    </row>
    <row r="24" spans="11:16" x14ac:dyDescent="0.25">
      <c r="K24" s="2">
        <f t="shared" si="1"/>
        <v>0.25</v>
      </c>
      <c r="L24" s="2">
        <f t="shared" si="2"/>
        <v>20</v>
      </c>
      <c r="M24" s="12">
        <f t="shared" si="0"/>
        <v>5</v>
      </c>
      <c r="N24" s="4">
        <v>0.83138494644038097</v>
      </c>
      <c r="O24" s="4">
        <v>1.08678899662022</v>
      </c>
      <c r="P24" s="4">
        <v>1.26540016520968</v>
      </c>
    </row>
    <row r="25" spans="11:16" x14ac:dyDescent="0.25">
      <c r="K25" s="2">
        <f t="shared" si="1"/>
        <v>0.25</v>
      </c>
      <c r="L25" s="2">
        <f t="shared" si="2"/>
        <v>21</v>
      </c>
      <c r="M25" s="12">
        <f t="shared" si="0"/>
        <v>5.25</v>
      </c>
      <c r="N25" s="4">
        <v>0.84852499712784801</v>
      </c>
      <c r="O25" s="4">
        <v>1.1058858829495799</v>
      </c>
      <c r="P25" s="4">
        <v>1.2877631034327299</v>
      </c>
    </row>
    <row r="26" spans="11:16" x14ac:dyDescent="0.25">
      <c r="K26" s="2">
        <f t="shared" si="1"/>
        <v>0.25</v>
      </c>
      <c r="L26" s="2">
        <f t="shared" si="2"/>
        <v>22</v>
      </c>
      <c r="M26" s="12">
        <f t="shared" si="0"/>
        <v>5.5</v>
      </c>
      <c r="N26" s="4">
        <v>0.86507045725621401</v>
      </c>
      <c r="O26" s="4">
        <v>1.12431776076436</v>
      </c>
      <c r="P26" s="4">
        <v>1.30936225560217</v>
      </c>
    </row>
    <row r="27" spans="11:16" x14ac:dyDescent="0.25">
      <c r="K27" s="2">
        <f t="shared" si="1"/>
        <v>0.25</v>
      </c>
      <c r="L27" s="2">
        <f t="shared" si="2"/>
        <v>23</v>
      </c>
      <c r="M27" s="12">
        <f t="shared" si="0"/>
        <v>5.75</v>
      </c>
      <c r="N27" s="4">
        <v>0.88106861373578205</v>
      </c>
      <c r="O27" s="4">
        <v>1.1421383558585001</v>
      </c>
      <c r="P27" s="4">
        <v>1.33025842169575</v>
      </c>
    </row>
    <row r="28" spans="11:16" x14ac:dyDescent="0.25">
      <c r="K28" s="2">
        <f t="shared" si="1"/>
        <v>0.25</v>
      </c>
      <c r="L28" s="2">
        <f t="shared" si="2"/>
        <v>24</v>
      </c>
      <c r="M28" s="12">
        <f t="shared" si="0"/>
        <v>6</v>
      </c>
      <c r="N28" s="4">
        <v>0.89656110567807201</v>
      </c>
      <c r="O28" s="4">
        <v>1.15939485052663</v>
      </c>
      <c r="P28" s="4">
        <v>1.35050508832723</v>
      </c>
    </row>
    <row r="29" spans="11:16" x14ac:dyDescent="0.25">
      <c r="K29" s="2">
        <f t="shared" si="1"/>
        <v>0.25</v>
      </c>
      <c r="L29" s="2">
        <f t="shared" si="2"/>
        <v>25</v>
      </c>
      <c r="M29" s="12">
        <f t="shared" si="0"/>
        <v>6.25</v>
      </c>
      <c r="N29" s="4">
        <v>0.911584803186827</v>
      </c>
      <c r="O29" s="4">
        <v>1.1761289241845301</v>
      </c>
      <c r="P29" s="4">
        <v>1.37014957895023</v>
      </c>
    </row>
    <row r="30" spans="11:16" x14ac:dyDescent="0.25">
      <c r="K30" s="2">
        <f t="shared" si="1"/>
        <v>0.25</v>
      </c>
      <c r="L30" s="2">
        <f t="shared" si="2"/>
        <v>26</v>
      </c>
      <c r="M30" s="12">
        <f t="shared" si="0"/>
        <v>6.5</v>
      </c>
      <c r="N30" s="4">
        <v>0.92617252029321795</v>
      </c>
      <c r="O30" s="4">
        <v>1.1923775929327001</v>
      </c>
      <c r="P30" s="4">
        <v>1.3892339843175801</v>
      </c>
    </row>
    <row r="31" spans="11:16" x14ac:dyDescent="0.25">
      <c r="K31" s="2">
        <f t="shared" si="1"/>
        <v>0.25</v>
      </c>
      <c r="L31" s="2">
        <f t="shared" si="2"/>
        <v>27</v>
      </c>
      <c r="M31" s="12">
        <f t="shared" si="0"/>
        <v>6.75</v>
      </c>
      <c r="N31" s="4">
        <v>0.94035359852348099</v>
      </c>
      <c r="O31" s="4">
        <v>1.20817389339325</v>
      </c>
      <c r="P31" s="4">
        <v>1.40779592180224</v>
      </c>
    </row>
    <row r="32" spans="11:16" x14ac:dyDescent="0.25">
      <c r="K32" s="2">
        <f t="shared" si="1"/>
        <v>0.25</v>
      </c>
      <c r="L32" s="2">
        <f t="shared" si="2"/>
        <v>28</v>
      </c>
      <c r="M32" s="12">
        <f t="shared" si="0"/>
        <v>7</v>
      </c>
      <c r="N32" s="4">
        <v>0.95415438835723398</v>
      </c>
      <c r="O32" s="4">
        <v>1.2235474444025001</v>
      </c>
      <c r="P32" s="4">
        <v>1.42586916039756</v>
      </c>
    </row>
    <row r="33" spans="11:16" x14ac:dyDescent="0.25">
      <c r="K33" s="2">
        <f t="shared" si="1"/>
        <v>0.25</v>
      </c>
      <c r="L33" s="2">
        <f t="shared" si="2"/>
        <v>29</v>
      </c>
      <c r="M33" s="12">
        <f t="shared" si="0"/>
        <v>7.25</v>
      </c>
      <c r="N33" s="4">
        <v>0.96759864931019202</v>
      </c>
      <c r="O33" s="4">
        <v>1.2385249118874599</v>
      </c>
      <c r="P33" s="4">
        <v>1.4434841390526201</v>
      </c>
    </row>
    <row r="34" spans="11:16" x14ac:dyDescent="0.25">
      <c r="K34" s="2">
        <f t="shared" si="1"/>
        <v>0.25</v>
      </c>
      <c r="L34" s="2">
        <f t="shared" si="2"/>
        <v>30</v>
      </c>
      <c r="M34" s="12">
        <f t="shared" si="0"/>
        <v>7.5</v>
      </c>
      <c r="N34" s="4">
        <v>0.98070788481167104</v>
      </c>
      <c r="O34" s="4">
        <v>1.25313039656553</v>
      </c>
      <c r="P34" s="4">
        <v>1.46066839963429</v>
      </c>
    </row>
    <row r="35" spans="11:16" x14ac:dyDescent="0.25">
      <c r="K35" s="2">
        <f t="shared" si="1"/>
        <v>0.25</v>
      </c>
      <c r="L35" s="2">
        <f t="shared" si="2"/>
        <v>31</v>
      </c>
      <c r="M35" s="12">
        <f t="shared" si="0"/>
        <v>7.75</v>
      </c>
      <c r="N35" s="4">
        <v>0.99350162413999299</v>
      </c>
      <c r="O35" s="4">
        <v>1.2673857593259701</v>
      </c>
      <c r="P35" s="4">
        <v>1.47744695095206</v>
      </c>
    </row>
    <row r="36" spans="11:16" x14ac:dyDescent="0.25">
      <c r="K36" s="2">
        <f t="shared" si="1"/>
        <v>0.25</v>
      </c>
      <c r="L36" s="2">
        <f t="shared" si="2"/>
        <v>32</v>
      </c>
      <c r="M36" s="12">
        <f t="shared" si="0"/>
        <v>8</v>
      </c>
      <c r="N36" s="4">
        <v>1.00599766124045</v>
      </c>
      <c r="O36" s="4">
        <v>1.2813108960531101</v>
      </c>
      <c r="P36" s="4">
        <v>1.4938425766830401</v>
      </c>
    </row>
    <row r="37" spans="11:16" x14ac:dyDescent="0.25">
      <c r="K37" s="2">
        <f t="shared" si="1"/>
        <v>0.25</v>
      </c>
      <c r="L37" s="2">
        <f t="shared" si="2"/>
        <v>33</v>
      </c>
      <c r="M37" s="12">
        <f t="shared" si="0"/>
        <v>8.25</v>
      </c>
      <c r="N37" s="4">
        <v>1.0182122582592401</v>
      </c>
      <c r="O37" s="4">
        <v>1.2949239711358</v>
      </c>
      <c r="P37" s="4">
        <v>1.5098760973852701</v>
      </c>
    </row>
    <row r="38" spans="11:16" x14ac:dyDescent="0.25">
      <c r="K38" s="2">
        <f t="shared" si="1"/>
        <v>0.25</v>
      </c>
      <c r="L38" s="2">
        <f t="shared" si="2"/>
        <v>34</v>
      </c>
      <c r="M38" s="12">
        <f t="shared" si="0"/>
        <v>8.5</v>
      </c>
      <c r="N38" s="4">
        <v>1.03016031971695</v>
      </c>
      <c r="O38" s="4">
        <v>1.3082416167961699</v>
      </c>
      <c r="P38" s="4">
        <v>1.52556659460957</v>
      </c>
    </row>
    <row r="39" spans="11:16" x14ac:dyDescent="0.25">
      <c r="K39" s="2">
        <f t="shared" si="1"/>
        <v>0.25</v>
      </c>
      <c r="L39" s="2">
        <f t="shared" si="2"/>
        <v>35</v>
      </c>
      <c r="M39" s="12">
        <f t="shared" si="0"/>
        <v>8.75</v>
      </c>
      <c r="N39" s="4">
        <v>1.04185554237581</v>
      </c>
      <c r="O39" s="4">
        <v>1.3212791044180801</v>
      </c>
      <c r="P39" s="4">
        <v>1.54093160346197</v>
      </c>
    </row>
    <row r="40" spans="11:16" x14ac:dyDescent="0.25">
      <c r="K40" s="2">
        <f t="shared" si="1"/>
        <v>0.25</v>
      </c>
      <c r="L40" s="2">
        <f t="shared" si="2"/>
        <v>36</v>
      </c>
      <c r="M40" s="12">
        <f t="shared" si="0"/>
        <v>9</v>
      </c>
      <c r="N40" s="4">
        <v>1.0533105448503699</v>
      </c>
      <c r="O40" s="4">
        <v>1.3340504921041001</v>
      </c>
      <c r="P40" s="4">
        <v>1.55598727904303</v>
      </c>
    </row>
    <row r="41" spans="11:16" x14ac:dyDescent="0.25">
      <c r="K41" s="2">
        <f t="shared" si="1"/>
        <v>0.25</v>
      </c>
      <c r="L41" s="2">
        <f t="shared" si="2"/>
        <v>37</v>
      </c>
      <c r="M41" s="12">
        <f t="shared" si="0"/>
        <v>9.25</v>
      </c>
      <c r="N41" s="4">
        <v>1.06453698004803</v>
      </c>
      <c r="O41" s="4">
        <v>1.3465687526319201</v>
      </c>
      <c r="P41" s="4">
        <v>1.5707485407147901</v>
      </c>
    </row>
    <row r="42" spans="11:16" x14ac:dyDescent="0.25">
      <c r="K42" s="2">
        <f t="shared" si="1"/>
        <v>0.25</v>
      </c>
      <c r="L42" s="2">
        <f t="shared" si="2"/>
        <v>38</v>
      </c>
      <c r="M42" s="12">
        <f t="shared" si="0"/>
        <v>9.5</v>
      </c>
      <c r="N42" s="4">
        <v>1.07554563320333</v>
      </c>
      <c r="O42" s="4">
        <v>1.3588458848090399</v>
      </c>
      <c r="P42" s="4">
        <v>1.5852291978109001</v>
      </c>
    </row>
    <row r="43" spans="11:16" x14ac:dyDescent="0.25">
      <c r="K43" s="2">
        <f t="shared" si="1"/>
        <v>0.25</v>
      </c>
      <c r="L43" s="2">
        <f t="shared" si="2"/>
        <v>39</v>
      </c>
      <c r="M43" s="12">
        <f t="shared" si="0"/>
        <v>9.75</v>
      </c>
      <c r="N43" s="4">
        <v>1.0863465076552199</v>
      </c>
      <c r="O43" s="4">
        <v>1.37089301064152</v>
      </c>
      <c r="P43" s="4">
        <v>1.59944205955281</v>
      </c>
    </row>
    <row r="44" spans="11:16" x14ac:dyDescent="0.25">
      <c r="K44" s="2">
        <f t="shared" si="1"/>
        <v>0.25</v>
      </c>
      <c r="L44" s="2">
        <f t="shared" si="2"/>
        <v>40</v>
      </c>
      <c r="M44" s="12">
        <f t="shared" si="0"/>
        <v>10</v>
      </c>
      <c r="N44" s="4">
        <v>1.0969489001223101</v>
      </c>
      <c r="O44" s="4">
        <v>1.38272046065507</v>
      </c>
      <c r="P44" s="4">
        <v>1.6133990315315401</v>
      </c>
    </row>
  </sheetData>
  <mergeCells count="1">
    <mergeCell ref="D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Load_Steps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Tanmaye Heblekar</dc:creator>
  <cp:lastModifiedBy>Tanmaye Heblekar</cp:lastModifiedBy>
  <dcterms:created xsi:type="dcterms:W3CDTF">2025-11-17T05:46:34Z</dcterms:created>
  <dcterms:modified xsi:type="dcterms:W3CDTF">2025-11-17T07:02:25Z</dcterms:modified>
</cp:coreProperties>
</file>