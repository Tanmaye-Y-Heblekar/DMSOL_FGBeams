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orage.it.tamu.edu\TAMU\OAL\Homes\tanmayeyashodan.h\AccountSettings\Desktop\ANALYSIS_OF_BEAMS\PROB_04_NL_FGB\"/>
    </mc:Choice>
  </mc:AlternateContent>
  <xr:revisionPtr revIDLastSave="0" documentId="13_ncr:1_{3141F2FC-334D-4102-BCE7-3F5CD09EE5AB}" xr6:coauthVersionLast="47" xr6:coauthVersionMax="47" xr10:uidLastSave="{00000000-0000-0000-0000-000000000000}"/>
  <bookViews>
    <workbookView xWindow="-120" yWindow="-120" windowWidth="29040" windowHeight="15720" xr2:uid="{FE15F2CF-35EA-4D23-B55B-62F87842D900}"/>
  </bookViews>
  <sheets>
    <sheet name="Results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</calcChain>
</file>

<file path=xl/sharedStrings.xml><?xml version="1.0" encoding="utf-8"?>
<sst xmlns="http://schemas.openxmlformats.org/spreadsheetml/2006/main" count="20" uniqueCount="14">
  <si>
    <t>∆LOAD</t>
  </si>
  <si>
    <t>LOAD</t>
  </si>
  <si>
    <t>LOAD STEP</t>
  </si>
  <si>
    <t>n=0</t>
  </si>
  <si>
    <t>w</t>
  </si>
  <si>
    <t>E1</t>
  </si>
  <si>
    <t>H</t>
  </si>
  <si>
    <t>L</t>
  </si>
  <si>
    <t>wbar</t>
  </si>
  <si>
    <t>X</t>
  </si>
  <si>
    <t>Y</t>
  </si>
  <si>
    <t>n=10</t>
  </si>
  <si>
    <t>From DMSOL_FGBeams</t>
  </si>
  <si>
    <t>From Digitization of Book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</si>
</sst>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Courier New"/>
      <family val="3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2" fontId="1" fillId="2" borderId="1" xfId="0" applyNumberFormat="1" applyFont="1" applyFill="1" applyBorder="1"/>
    <xf numFmtId="1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Nonlinear FEA Book</c:v>
          </c:tx>
          <c:spPr>
            <a:ln w="1905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Results!$K$9:$K$40</c:f>
              <c:numCache>
                <c:formatCode>0.0</c:formatCode>
                <c:ptCount val="32"/>
                <c:pt idx="0">
                  <c:v>0</c:v>
                </c:pt>
                <c:pt idx="1">
                  <c:v>0.257653061224489</c:v>
                </c:pt>
                <c:pt idx="2">
                  <c:v>0.50255102040816202</c:v>
                </c:pt>
                <c:pt idx="3">
                  <c:v>0.74744897959183598</c:v>
                </c:pt>
                <c:pt idx="4">
                  <c:v>1</c:v>
                </c:pt>
                <c:pt idx="5">
                  <c:v>1.25255102040816</c:v>
                </c:pt>
                <c:pt idx="6">
                  <c:v>1.50510204081632</c:v>
                </c:pt>
                <c:pt idx="7">
                  <c:v>1.7576530612244801</c:v>
                </c:pt>
                <c:pt idx="8">
                  <c:v>2.00255102040816</c:v>
                </c:pt>
                <c:pt idx="9">
                  <c:v>2.25510204081632</c:v>
                </c:pt>
                <c:pt idx="10">
                  <c:v>2.5076530612244898</c:v>
                </c:pt>
                <c:pt idx="11">
                  <c:v>2.75255102040816</c:v>
                </c:pt>
                <c:pt idx="12">
                  <c:v>3.00510204081632</c:v>
                </c:pt>
                <c:pt idx="13">
                  <c:v>3.25</c:v>
                </c:pt>
                <c:pt idx="14">
                  <c:v>3.50255102040816</c:v>
                </c:pt>
                <c:pt idx="15">
                  <c:v>3.75510204081632</c:v>
                </c:pt>
                <c:pt idx="16">
                  <c:v>4</c:v>
                </c:pt>
                <c:pt idx="17">
                  <c:v>4.25255102040816</c:v>
                </c:pt>
                <c:pt idx="18">
                  <c:v>4.50510204081632</c:v>
                </c:pt>
                <c:pt idx="19">
                  <c:v>4.7576530612244898</c:v>
                </c:pt>
                <c:pt idx="20">
                  <c:v>5.00255102040816</c:v>
                </c:pt>
                <c:pt idx="21">
                  <c:v>5.2474489795918302</c:v>
                </c:pt>
                <c:pt idx="22">
                  <c:v>5.5076530612244898</c:v>
                </c:pt>
                <c:pt idx="23">
                  <c:v>5.75255102040816</c:v>
                </c:pt>
                <c:pt idx="24">
                  <c:v>5.9974489795918302</c:v>
                </c:pt>
                <c:pt idx="25">
                  <c:v>6.2499999999999902</c:v>
                </c:pt>
                <c:pt idx="26">
                  <c:v>6.50255102040816</c:v>
                </c:pt>
                <c:pt idx="27">
                  <c:v>6.75510204081632</c:v>
                </c:pt>
                <c:pt idx="28">
                  <c:v>7</c:v>
                </c:pt>
                <c:pt idx="29">
                  <c:v>7.25255102040816</c:v>
                </c:pt>
                <c:pt idx="30">
                  <c:v>7.50510204081632</c:v>
                </c:pt>
                <c:pt idx="31">
                  <c:v>7.75</c:v>
                </c:pt>
              </c:numCache>
            </c:numRef>
          </c:xVal>
          <c:yVal>
            <c:numRef>
              <c:f>Results!$L$9:$L$40</c:f>
              <c:numCache>
                <c:formatCode>0.00</c:formatCode>
                <c:ptCount val="32"/>
                <c:pt idx="0">
                  <c:v>0</c:v>
                </c:pt>
                <c:pt idx="1">
                  <c:v>1.4811031664964201E-2</c:v>
                </c:pt>
                <c:pt idx="2">
                  <c:v>2.9519918283963199E-2</c:v>
                </c:pt>
                <c:pt idx="3">
                  <c:v>4.4228804902962202E-2</c:v>
                </c:pt>
                <c:pt idx="4">
                  <c:v>5.7711950970377901E-2</c:v>
                </c:pt>
                <c:pt idx="5">
                  <c:v>7.0888661899897898E-2</c:v>
                </c:pt>
                <c:pt idx="6">
                  <c:v>8.2839632277834502E-2</c:v>
                </c:pt>
                <c:pt idx="7">
                  <c:v>9.4177732379979603E-2</c:v>
                </c:pt>
                <c:pt idx="8">
                  <c:v>0.10429009193054101</c:v>
                </c:pt>
                <c:pt idx="9">
                  <c:v>0.114096016343207</c:v>
                </c:pt>
                <c:pt idx="10">
                  <c:v>0.123289070480081</c:v>
                </c:pt>
                <c:pt idx="11">
                  <c:v>0.13186925434116401</c:v>
                </c:pt>
                <c:pt idx="12">
                  <c:v>0.14014300306435101</c:v>
                </c:pt>
                <c:pt idx="13">
                  <c:v>0.147803881511746</c:v>
                </c:pt>
                <c:pt idx="14">
                  <c:v>0.15485188968335001</c:v>
                </c:pt>
                <c:pt idx="15">
                  <c:v>0.16189989785495401</c:v>
                </c:pt>
                <c:pt idx="16">
                  <c:v>0.16864147088866099</c:v>
                </c:pt>
                <c:pt idx="17">
                  <c:v>0.17507660878447401</c:v>
                </c:pt>
                <c:pt idx="18">
                  <c:v>0.18120531154239</c:v>
                </c:pt>
                <c:pt idx="19">
                  <c:v>0.18672114402451401</c:v>
                </c:pt>
                <c:pt idx="20">
                  <c:v>0.19254341164453501</c:v>
                </c:pt>
                <c:pt idx="21">
                  <c:v>0.19775280898876399</c:v>
                </c:pt>
                <c:pt idx="22">
                  <c:v>0.203268641470888</c:v>
                </c:pt>
                <c:pt idx="23">
                  <c:v>0.20817160367722101</c:v>
                </c:pt>
                <c:pt idx="24">
                  <c:v>0.213074565883554</c:v>
                </c:pt>
                <c:pt idx="25">
                  <c:v>0.217671092951991</c:v>
                </c:pt>
                <c:pt idx="26">
                  <c:v>0.22257405515832401</c:v>
                </c:pt>
                <c:pt idx="27">
                  <c:v>0.22717058222676201</c:v>
                </c:pt>
                <c:pt idx="28">
                  <c:v>0.23146067415730301</c:v>
                </c:pt>
                <c:pt idx="29">
                  <c:v>0.23575076608784401</c:v>
                </c:pt>
                <c:pt idx="30">
                  <c:v>0.23973442288048999</c:v>
                </c:pt>
                <c:pt idx="31">
                  <c:v>0.243718079673135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F-46A4-916B-46B3942E2D81}"/>
            </c:ext>
          </c:extLst>
        </c:ser>
        <c:ser>
          <c:idx val="1"/>
          <c:order val="1"/>
          <c:tx>
            <c:v>From DMSOL_FGBeams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Results!$D$9:$D$41</c:f>
              <c:numCache>
                <c:formatCode>0.00</c:formatCode>
                <c:ptCount val="3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</c:numCache>
            </c:numRef>
          </c:xVal>
          <c:yVal>
            <c:numRef>
              <c:f>Results!$G$9:$G$41</c:f>
              <c:numCache>
                <c:formatCode>0.00000</c:formatCode>
                <c:ptCount val="33"/>
                <c:pt idx="0">
                  <c:v>0</c:v>
                </c:pt>
                <c:pt idx="1">
                  <c:v>1.55701114909086E-2</c:v>
                </c:pt>
                <c:pt idx="2">
                  <c:v>3.0760845255263698E-2</c:v>
                </c:pt>
                <c:pt idx="3">
                  <c:v>4.5277117440139202E-2</c:v>
                </c:pt>
                <c:pt idx="4">
                  <c:v>5.8946664040372798E-2</c:v>
                </c:pt>
                <c:pt idx="5">
                  <c:v>7.1708722930601099E-2</c:v>
                </c:pt>
                <c:pt idx="6">
                  <c:v>8.3579039856372911E-2</c:v>
                </c:pt>
                <c:pt idx="7">
                  <c:v>9.4615284367253707E-2</c:v>
                </c:pt>
                <c:pt idx="8">
                  <c:v>0.1048925831213115</c:v>
                </c:pt>
                <c:pt idx="9">
                  <c:v>0.11448920543510191</c:v>
                </c:pt>
                <c:pt idx="10">
                  <c:v>0.12347935221759571</c:v>
                </c:pt>
                <c:pt idx="11">
                  <c:v>0.13193014182340859</c:v>
                </c:pt>
                <c:pt idx="12">
                  <c:v>0.13990082070694979</c:v>
                </c:pt>
                <c:pt idx="13">
                  <c:v>0.1474430428251024</c:v>
                </c:pt>
                <c:pt idx="14">
                  <c:v>0.15460159487678729</c:v>
                </c:pt>
                <c:pt idx="15">
                  <c:v>0.16141525264099021</c:v>
                </c:pt>
                <c:pt idx="16">
                  <c:v>0.16791772971946317</c:v>
                </c:pt>
                <c:pt idx="17">
                  <c:v>0.17413797954783869</c:v>
                </c:pt>
                <c:pt idx="18">
                  <c:v>0.18010158159677039</c:v>
                </c:pt>
                <c:pt idx="19">
                  <c:v>0.18583079510620079</c:v>
                </c:pt>
                <c:pt idx="20">
                  <c:v>0.19134517172616092</c:v>
                </c:pt>
                <c:pt idx="21">
                  <c:v>0.19666195466925812</c:v>
                </c:pt>
                <c:pt idx="22">
                  <c:v>0.20179641276508861</c:v>
                </c:pt>
                <c:pt idx="23">
                  <c:v>0.20676212008501227</c:v>
                </c:pt>
                <c:pt idx="24">
                  <c:v>0.21157119039035849</c:v>
                </c:pt>
                <c:pt idx="25">
                  <c:v>0.21623447420607569</c:v>
                </c:pt>
                <c:pt idx="26">
                  <c:v>0.22076172499134361</c:v>
                </c:pt>
                <c:pt idx="27">
                  <c:v>0.22516173974130357</c:v>
                </c:pt>
                <c:pt idx="28">
                  <c:v>0.22944247838945131</c:v>
                </c:pt>
                <c:pt idx="29">
                  <c:v>0.2336111655911271</c:v>
                </c:pt>
                <c:pt idx="30">
                  <c:v>0.23767437781341541</c:v>
                </c:pt>
                <c:pt idx="31">
                  <c:v>0.24163811813527741</c:v>
                </c:pt>
                <c:pt idx="32">
                  <c:v>0.2455078807298163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3F-46A4-916B-46B3942E2D81}"/>
            </c:ext>
          </c:extLst>
        </c:ser>
        <c:ser>
          <c:idx val="2"/>
          <c:order val="2"/>
          <c:tx>
            <c:v>Nonlinear FEA Book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Results!$M$9:$M$40</c:f>
              <c:numCache>
                <c:formatCode>0.0</c:formatCode>
                <c:ptCount val="32"/>
                <c:pt idx="0">
                  <c:v>5.10204081632625E-3</c:v>
                </c:pt>
                <c:pt idx="1">
                  <c:v>0.257653061224489</c:v>
                </c:pt>
                <c:pt idx="2">
                  <c:v>0.50255102040816202</c:v>
                </c:pt>
                <c:pt idx="3">
                  <c:v>0.75510204081632604</c:v>
                </c:pt>
                <c:pt idx="4">
                  <c:v>1.0076530612244801</c:v>
                </c:pt>
                <c:pt idx="5">
                  <c:v>1.2602040816326501</c:v>
                </c:pt>
                <c:pt idx="6">
                  <c:v>1.50510204081632</c:v>
                </c:pt>
                <c:pt idx="7">
                  <c:v>1.7576530612244801</c:v>
                </c:pt>
                <c:pt idx="8">
                  <c:v>2.00255102040816</c:v>
                </c:pt>
                <c:pt idx="9">
                  <c:v>2.2474489795918302</c:v>
                </c:pt>
                <c:pt idx="10">
                  <c:v>2.5076530612244898</c:v>
                </c:pt>
                <c:pt idx="11">
                  <c:v>2.7602040816326499</c:v>
                </c:pt>
                <c:pt idx="12">
                  <c:v>3.00510204081632</c:v>
                </c:pt>
                <c:pt idx="13">
                  <c:v>3.25</c:v>
                </c:pt>
                <c:pt idx="14">
                  <c:v>3.50255102040816</c:v>
                </c:pt>
                <c:pt idx="15">
                  <c:v>3.75510204081632</c:v>
                </c:pt>
                <c:pt idx="16">
                  <c:v>4</c:v>
                </c:pt>
                <c:pt idx="17">
                  <c:v>4.25255102040816</c:v>
                </c:pt>
                <c:pt idx="18">
                  <c:v>4.50510204081632</c:v>
                </c:pt>
                <c:pt idx="19">
                  <c:v>4.75</c:v>
                </c:pt>
                <c:pt idx="20">
                  <c:v>5.00255102040816</c:v>
                </c:pt>
                <c:pt idx="21">
                  <c:v>5.25510204081632</c:v>
                </c:pt>
                <c:pt idx="22">
                  <c:v>5.5</c:v>
                </c:pt>
                <c:pt idx="23">
                  <c:v>5.75255102040816</c:v>
                </c:pt>
                <c:pt idx="24">
                  <c:v>6.00510204081632</c:v>
                </c:pt>
                <c:pt idx="25">
                  <c:v>6.2576530612244801</c:v>
                </c:pt>
                <c:pt idx="26">
                  <c:v>6.50255102040816</c:v>
                </c:pt>
                <c:pt idx="27">
                  <c:v>6.75510204081632</c:v>
                </c:pt>
                <c:pt idx="28">
                  <c:v>7</c:v>
                </c:pt>
                <c:pt idx="29">
                  <c:v>7.25255102040816</c:v>
                </c:pt>
                <c:pt idx="30">
                  <c:v>7.50510204081632</c:v>
                </c:pt>
                <c:pt idx="31">
                  <c:v>7.75</c:v>
                </c:pt>
              </c:numCache>
            </c:numRef>
          </c:xVal>
          <c:yVal>
            <c:numRef>
              <c:f>Results!$N$9:$N$40</c:f>
              <c:numCache>
                <c:formatCode>0.0</c:formatCode>
                <c:ptCount val="32"/>
                <c:pt idx="0">
                  <c:v>-8.1716036772211398E-4</c:v>
                </c:pt>
                <c:pt idx="1">
                  <c:v>3.25842696629213E-2</c:v>
                </c:pt>
                <c:pt idx="2">
                  <c:v>6.2308478038815097E-2</c:v>
                </c:pt>
                <c:pt idx="3">
                  <c:v>8.8049029622063402E-2</c:v>
                </c:pt>
                <c:pt idx="4">
                  <c:v>0.110418794688457</c:v>
                </c:pt>
                <c:pt idx="5">
                  <c:v>0.13003064351378901</c:v>
                </c:pt>
                <c:pt idx="6">
                  <c:v>0.14749744637385001</c:v>
                </c:pt>
                <c:pt idx="7">
                  <c:v>0.16281920326864099</c:v>
                </c:pt>
                <c:pt idx="8">
                  <c:v>0.176915219611848</c:v>
                </c:pt>
                <c:pt idx="9">
                  <c:v>0.190091930541368</c:v>
                </c:pt>
                <c:pt idx="10">
                  <c:v>0.20234933605720101</c:v>
                </c:pt>
                <c:pt idx="11">
                  <c:v>0.213074565883554</c:v>
                </c:pt>
                <c:pt idx="12">
                  <c:v>0.22379979570990799</c:v>
                </c:pt>
                <c:pt idx="13">
                  <c:v>0.233605720122574</c:v>
                </c:pt>
                <c:pt idx="14">
                  <c:v>0.24310520939734401</c:v>
                </c:pt>
                <c:pt idx="15">
                  <c:v>0.25168539325842698</c:v>
                </c:pt>
                <c:pt idx="16">
                  <c:v>0.26026557711950898</c:v>
                </c:pt>
                <c:pt idx="17">
                  <c:v>0.2682328907048</c:v>
                </c:pt>
                <c:pt idx="18">
                  <c:v>0.27620020429009101</c:v>
                </c:pt>
                <c:pt idx="19">
                  <c:v>0.28324821246169501</c:v>
                </c:pt>
                <c:pt idx="20">
                  <c:v>0.29029622063329902</c:v>
                </c:pt>
                <c:pt idx="21">
                  <c:v>0.297037793667007</c:v>
                </c:pt>
                <c:pt idx="22">
                  <c:v>0.30377936670071498</c:v>
                </c:pt>
                <c:pt idx="23">
                  <c:v>0.310214504596527</c:v>
                </c:pt>
                <c:pt idx="24">
                  <c:v>0.31634320735444299</c:v>
                </c:pt>
                <c:pt idx="25">
                  <c:v>0.32247191011235898</c:v>
                </c:pt>
                <c:pt idx="26">
                  <c:v>0.32798774259448399</c:v>
                </c:pt>
                <c:pt idx="27">
                  <c:v>0.33381001021450402</c:v>
                </c:pt>
                <c:pt idx="28">
                  <c:v>0.33932584269662902</c:v>
                </c:pt>
                <c:pt idx="29">
                  <c:v>0.34484167517875303</c:v>
                </c:pt>
                <c:pt idx="30">
                  <c:v>0.34974463738508599</c:v>
                </c:pt>
                <c:pt idx="31">
                  <c:v>0.35495403472931503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B3F-46A4-916B-46B3942E2D81}"/>
            </c:ext>
          </c:extLst>
        </c:ser>
        <c:ser>
          <c:idx val="3"/>
          <c:order val="3"/>
          <c:tx>
            <c:v>From DMSOL_FGBeams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Results!$D$9:$D$40</c:f>
              <c:numCache>
                <c:formatCode>0.00</c:formatCode>
                <c:ptCount val="32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</c:numCache>
            </c:numRef>
          </c:xVal>
          <c:yVal>
            <c:numRef>
              <c:f>Results!$I$9:$I$40</c:f>
              <c:numCache>
                <c:formatCode>0.00000</c:formatCode>
                <c:ptCount val="32"/>
                <c:pt idx="0">
                  <c:v>0</c:v>
                </c:pt>
                <c:pt idx="1">
                  <c:v>3.5038918705270497E-2</c:v>
                </c:pt>
                <c:pt idx="2">
                  <c:v>6.7255522765361411E-2</c:v>
                </c:pt>
                <c:pt idx="3">
                  <c:v>9.4686746905856392E-2</c:v>
                </c:pt>
                <c:pt idx="4">
                  <c:v>0.11775139493681999</c:v>
                </c:pt>
                <c:pt idx="5">
                  <c:v>0.137431475114763</c:v>
                </c:pt>
                <c:pt idx="6">
                  <c:v>0.15455977129526521</c:v>
                </c:pt>
                <c:pt idx="7">
                  <c:v>0.16973906806132921</c:v>
                </c:pt>
                <c:pt idx="8">
                  <c:v>0.18339530651059319</c:v>
                </c:pt>
                <c:pt idx="9">
                  <c:v>0.19583324085356851</c:v>
                </c:pt>
                <c:pt idx="10">
                  <c:v>0.20727584407866179</c:v>
                </c:pt>
                <c:pt idx="11">
                  <c:v>0.21789017325100199</c:v>
                </c:pt>
                <c:pt idx="12">
                  <c:v>0.22780422349101509</c:v>
                </c:pt>
                <c:pt idx="13">
                  <c:v>0.23711806428255</c:v>
                </c:pt>
                <c:pt idx="14">
                  <c:v>0.2459113518968277</c:v>
                </c:pt>
                <c:pt idx="15">
                  <c:v>0.25424869192427735</c:v>
                </c:pt>
                <c:pt idx="16">
                  <c:v>0.26218252544000281</c:v>
                </c:pt>
                <c:pt idx="17">
                  <c:v>0.2697569806996773</c:v>
                </c:pt>
                <c:pt idx="18">
                  <c:v>0.2770089199996677</c:v>
                </c:pt>
                <c:pt idx="19">
                  <c:v>0.28396961524154102</c:v>
                </c:pt>
                <c:pt idx="20">
                  <c:v>0.29066583433253845</c:v>
                </c:pt>
                <c:pt idx="21">
                  <c:v>0.29712067574753759</c:v>
                </c:pt>
                <c:pt idx="22">
                  <c:v>0.30335421797697898</c:v>
                </c:pt>
                <c:pt idx="23">
                  <c:v>0.30938403094723499</c:v>
                </c:pt>
                <c:pt idx="24">
                  <c:v>0.31522558314765897</c:v>
                </c:pt>
                <c:pt idx="25">
                  <c:v>0.32089256898486601</c:v>
                </c:pt>
                <c:pt idx="26">
                  <c:v>0.32639717442710098</c:v>
                </c:pt>
                <c:pt idx="27">
                  <c:v>0.33175029440880599</c:v>
                </c:pt>
                <c:pt idx="28">
                  <c:v>0.33696171216021004</c:v>
                </c:pt>
                <c:pt idx="29">
                  <c:v>0.34204024821238505</c:v>
                </c:pt>
                <c:pt idx="30">
                  <c:v>0.346993885048344</c:v>
                </c:pt>
                <c:pt idx="31">
                  <c:v>0.35182987204090804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B3F-46A4-916B-46B3942E2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07104"/>
        <c:axId val="1562435664"/>
      </c:scatterChart>
      <c:valAx>
        <c:axId val="1562607104"/>
        <c:scaling>
          <c:orientation val="minMax"/>
        </c:scaling>
        <c:delete val="0"/>
        <c:axPos val="b"/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entury Schoolbook" panose="02040604050505020304" pitchFamily="18" charset="0"/>
                <a:ea typeface="+mn-ea"/>
                <a:cs typeface="+mn-cs"/>
              </a:defRPr>
            </a:pPr>
            <a:endParaRPr lang="en-US"/>
          </a:p>
        </c:txPr>
        <c:crossAx val="1562435664"/>
        <c:crosses val="autoZero"/>
        <c:crossBetween val="midCat"/>
      </c:valAx>
      <c:valAx>
        <c:axId val="1562435664"/>
        <c:scaling>
          <c:orientation val="minMax"/>
          <c:min val="0"/>
        </c:scaling>
        <c:delete val="0"/>
        <c:axPos val="l"/>
        <c:numFmt formatCode="0.0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entury Schoolbook" panose="02040604050505020304" pitchFamily="18" charset="0"/>
                <a:ea typeface="+mn-ea"/>
                <a:cs typeface="+mn-cs"/>
              </a:defRPr>
            </a:pPr>
            <a:endParaRPr lang="en-US"/>
          </a:p>
        </c:txPr>
        <c:crossAx val="15626071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432941783916354"/>
          <c:y val="0.56826941684139542"/>
          <c:w val="0.44557463103997247"/>
          <c:h val="0.2486249458856106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entury Schoolbook" panose="020406040505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Century Schoolbook" panose="020406040505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314324</xdr:colOff>
      <xdr:row>4</xdr:row>
      <xdr:rowOff>133351</xdr:rowOff>
    </xdr:from>
    <xdr:to>
      <xdr:col>23</xdr:col>
      <xdr:colOff>57149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15D19-8364-238C-78FC-BD9873073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458262</xdr:colOff>
      <xdr:row>1</xdr:row>
      <xdr:rowOff>85725</xdr:rowOff>
    </xdr:from>
    <xdr:to>
      <xdr:col>9</xdr:col>
      <xdr:colOff>410613</xdr:colOff>
      <xdr:row>29</xdr:row>
      <xdr:rowOff>58163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652135-05A3-15E2-87C1-3D8763FC3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262" y="276225"/>
          <a:ext cx="5438751" cy="5306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B7D8-24CB-4D79-8656-F0B9F1B1AB99}">
  <dimension ref="B2:N54"/>
  <sheetViews>
    <sheetView tabSelected="1" workbookViewId="0">
      <selection activeCell="P31" sqref="P31"/>
    </sheetView>
  </sheetViews>
  <sheetFormatPr defaultRowHeight="15.75" x14ac:dyDescent="0.25"/>
  <cols>
    <col min="1" max="1" width="9.140625" style="2"/>
    <col min="2" max="2" width="11.42578125" style="2" customWidth="1"/>
    <col min="3" max="3" width="18.5703125" style="3" customWidth="1"/>
    <col min="4" max="4" width="16.140625" style="3" customWidth="1"/>
    <col min="5" max="5" width="9.140625" style="2"/>
    <col min="6" max="6" width="14" style="2" customWidth="1"/>
    <col min="7" max="7" width="14" style="4" customWidth="1"/>
    <col min="8" max="9" width="14" style="2" customWidth="1"/>
    <col min="10" max="10" width="9.140625" style="2"/>
    <col min="11" max="14" width="11.28515625" style="3" customWidth="1"/>
    <col min="15" max="16384" width="9.140625" style="2"/>
  </cols>
  <sheetData>
    <row r="2" spans="2:14" x14ac:dyDescent="0.25">
      <c r="F2" s="16" t="s">
        <v>5</v>
      </c>
      <c r="G2" s="18">
        <v>30000000</v>
      </c>
    </row>
    <row r="3" spans="2:14" x14ac:dyDescent="0.25">
      <c r="F3" s="16" t="s">
        <v>6</v>
      </c>
      <c r="G3" s="16">
        <v>1</v>
      </c>
    </row>
    <row r="4" spans="2:14" x14ac:dyDescent="0.25">
      <c r="F4" s="16" t="s">
        <v>7</v>
      </c>
      <c r="G4" s="16">
        <v>100</v>
      </c>
    </row>
    <row r="6" spans="2:14" s="5" customFormat="1" ht="22.5" customHeight="1" x14ac:dyDescent="0.25">
      <c r="C6" s="6"/>
      <c r="D6" s="6"/>
      <c r="F6" s="13" t="s">
        <v>12</v>
      </c>
      <c r="G6" s="13"/>
      <c r="H6" s="13"/>
      <c r="I6" s="13"/>
      <c r="K6" s="13" t="s">
        <v>13</v>
      </c>
      <c r="L6" s="13"/>
      <c r="M6" s="13"/>
      <c r="N6" s="13"/>
    </row>
    <row r="7" spans="2:14" x14ac:dyDescent="0.25">
      <c r="F7" s="9" t="s">
        <v>3</v>
      </c>
      <c r="G7" s="9"/>
      <c r="H7" s="9" t="s">
        <v>11</v>
      </c>
      <c r="I7" s="9"/>
      <c r="K7" s="9" t="s">
        <v>3</v>
      </c>
      <c r="L7" s="9"/>
      <c r="M7" s="9" t="s">
        <v>11</v>
      </c>
      <c r="N7" s="9"/>
    </row>
    <row r="8" spans="2:14" s="3" customFormat="1" x14ac:dyDescent="0.25">
      <c r="B8" s="10" t="s">
        <v>0</v>
      </c>
      <c r="C8" s="10" t="s">
        <v>2</v>
      </c>
      <c r="D8" s="10" t="s">
        <v>1</v>
      </c>
      <c r="F8" s="10" t="s">
        <v>4</v>
      </c>
      <c r="G8" s="10" t="s">
        <v>8</v>
      </c>
      <c r="H8" s="10" t="s">
        <v>4</v>
      </c>
      <c r="I8" s="10" t="s">
        <v>8</v>
      </c>
      <c r="K8" s="10" t="s">
        <v>9</v>
      </c>
      <c r="L8" s="10" t="s">
        <v>10</v>
      </c>
      <c r="M8" s="10" t="s">
        <v>9</v>
      </c>
      <c r="N8" s="10" t="s">
        <v>10</v>
      </c>
    </row>
    <row r="9" spans="2:14" x14ac:dyDescent="0.25">
      <c r="B9" s="16"/>
      <c r="C9" s="10"/>
      <c r="D9" s="15">
        <v>0</v>
      </c>
      <c r="F9" s="11">
        <v>0</v>
      </c>
      <c r="G9" s="12">
        <v>0</v>
      </c>
      <c r="H9" s="12">
        <v>0</v>
      </c>
      <c r="I9" s="12">
        <v>0</v>
      </c>
      <c r="K9" s="14">
        <v>0</v>
      </c>
      <c r="L9" s="15">
        <v>0</v>
      </c>
      <c r="M9" s="14">
        <v>5.10204081632625E-3</v>
      </c>
      <c r="N9" s="14">
        <v>-8.1716036772211398E-4</v>
      </c>
    </row>
    <row r="10" spans="2:14" x14ac:dyDescent="0.25">
      <c r="B10" s="17">
        <v>0.25</v>
      </c>
      <c r="C10" s="10">
        <v>1</v>
      </c>
      <c r="D10" s="15">
        <f>D9+B10</f>
        <v>0.25</v>
      </c>
      <c r="F10" s="11">
        <v>5.1900371636361999E-2</v>
      </c>
      <c r="G10" s="12">
        <f>F10*$G$2*$G$3^3/$G$4^4</f>
        <v>1.55701114909086E-2</v>
      </c>
      <c r="H10" s="12">
        <v>0.116796395684235</v>
      </c>
      <c r="I10" s="12">
        <f>H10*$G$2*$G$3^3/$G$4^4</f>
        <v>3.5038918705270497E-2</v>
      </c>
      <c r="K10" s="14">
        <v>0.257653061224489</v>
      </c>
      <c r="L10" s="15">
        <v>1.4811031664964201E-2</v>
      </c>
      <c r="M10" s="14">
        <v>0.257653061224489</v>
      </c>
      <c r="N10" s="14">
        <v>3.25842696629213E-2</v>
      </c>
    </row>
    <row r="11" spans="2:14" x14ac:dyDescent="0.25">
      <c r="B11" s="17">
        <v>0.25</v>
      </c>
      <c r="C11" s="10">
        <f>C10+1</f>
        <v>2</v>
      </c>
      <c r="D11" s="15">
        <f>D10+B11</f>
        <v>0.5</v>
      </c>
      <c r="F11" s="11">
        <v>0.102536150850879</v>
      </c>
      <c r="G11" s="12">
        <f>F11*$G$2*$G$3^3/$G$4^4</f>
        <v>3.0760845255263698E-2</v>
      </c>
      <c r="H11" s="12">
        <v>0.22418507588453801</v>
      </c>
      <c r="I11" s="12">
        <f>H11*$G$2*$G$3^3/$G$4^4</f>
        <v>6.7255522765361411E-2</v>
      </c>
      <c r="K11" s="14">
        <v>0.50255102040816202</v>
      </c>
      <c r="L11" s="15">
        <v>2.9519918283963199E-2</v>
      </c>
      <c r="M11" s="14">
        <v>0.50255102040816202</v>
      </c>
      <c r="N11" s="14">
        <v>6.2308478038815097E-2</v>
      </c>
    </row>
    <row r="12" spans="2:14" x14ac:dyDescent="0.25">
      <c r="B12" s="17">
        <v>0.25</v>
      </c>
      <c r="C12" s="10">
        <f t="shared" ref="C12:C49" si="0">C11+1</f>
        <v>3</v>
      </c>
      <c r="D12" s="15">
        <f>D11+B12</f>
        <v>0.75</v>
      </c>
      <c r="F12" s="11">
        <v>0.15092372480046401</v>
      </c>
      <c r="G12" s="12">
        <f>F12*$G$2*$G$3^3/$G$4^4</f>
        <v>4.5277117440139202E-2</v>
      </c>
      <c r="H12" s="12">
        <v>0.315622489686188</v>
      </c>
      <c r="I12" s="12">
        <f>H12*$G$2*$G$3^3/$G$4^4</f>
        <v>9.4686746905856392E-2</v>
      </c>
      <c r="K12" s="14">
        <v>0.74744897959183598</v>
      </c>
      <c r="L12" s="15">
        <v>4.4228804902962202E-2</v>
      </c>
      <c r="M12" s="14">
        <v>0.75510204081632604</v>
      </c>
      <c r="N12" s="14">
        <v>8.8049029622063402E-2</v>
      </c>
    </row>
    <row r="13" spans="2:14" x14ac:dyDescent="0.25">
      <c r="B13" s="17">
        <v>0.25</v>
      </c>
      <c r="C13" s="10">
        <f t="shared" si="0"/>
        <v>4</v>
      </c>
      <c r="D13" s="15">
        <f>D12+B13</f>
        <v>1</v>
      </c>
      <c r="F13" s="11">
        <v>0.19648888013457599</v>
      </c>
      <c r="G13" s="12">
        <f>F13*$G$2*$G$3^3/$G$4^4</f>
        <v>5.8946664040372798E-2</v>
      </c>
      <c r="H13" s="12">
        <v>0.39250464978939997</v>
      </c>
      <c r="I13" s="12">
        <f>H13*$G$2*$G$3^3/$G$4^4</f>
        <v>0.11775139493681999</v>
      </c>
      <c r="K13" s="14">
        <v>1</v>
      </c>
      <c r="L13" s="15">
        <v>5.7711950970377901E-2</v>
      </c>
      <c r="M13" s="14">
        <v>1.0076530612244801</v>
      </c>
      <c r="N13" s="14">
        <v>0.110418794688457</v>
      </c>
    </row>
    <row r="14" spans="2:14" x14ac:dyDescent="0.25">
      <c r="B14" s="17">
        <v>0.25</v>
      </c>
      <c r="C14" s="10">
        <f t="shared" si="0"/>
        <v>5</v>
      </c>
      <c r="D14" s="15">
        <f>D13+B14</f>
        <v>1.25</v>
      </c>
      <c r="F14" s="11">
        <v>0.239029076435337</v>
      </c>
      <c r="G14" s="12">
        <f>F14*$G$2*$G$3^3/$G$4^4</f>
        <v>7.1708722930601099E-2</v>
      </c>
      <c r="H14" s="12">
        <v>0.45810491704921003</v>
      </c>
      <c r="I14" s="12">
        <f>H14*$G$2*$G$3^3/$G$4^4</f>
        <v>0.137431475114763</v>
      </c>
      <c r="K14" s="14">
        <v>1.25255102040816</v>
      </c>
      <c r="L14" s="15">
        <v>7.0888661899897898E-2</v>
      </c>
      <c r="M14" s="14">
        <v>1.2602040816326501</v>
      </c>
      <c r="N14" s="14">
        <v>0.13003064351378901</v>
      </c>
    </row>
    <row r="15" spans="2:14" x14ac:dyDescent="0.25">
      <c r="B15" s="17">
        <v>0.25</v>
      </c>
      <c r="C15" s="10">
        <f t="shared" si="0"/>
        <v>6</v>
      </c>
      <c r="D15" s="15">
        <f>D14+B15</f>
        <v>1.5</v>
      </c>
      <c r="F15" s="11">
        <v>0.278596799521243</v>
      </c>
      <c r="G15" s="12">
        <f>F15*$G$2*$G$3^3/$G$4^4</f>
        <v>8.3579039856372911E-2</v>
      </c>
      <c r="H15" s="12">
        <v>0.51519923765088405</v>
      </c>
      <c r="I15" s="12">
        <f>H15*$G$2*$G$3^3/$G$4^4</f>
        <v>0.15455977129526521</v>
      </c>
      <c r="K15" s="14">
        <v>1.50510204081632</v>
      </c>
      <c r="L15" s="15">
        <v>8.2839632277834502E-2</v>
      </c>
      <c r="M15" s="14">
        <v>1.50510204081632</v>
      </c>
      <c r="N15" s="14">
        <v>0.14749744637385001</v>
      </c>
    </row>
    <row r="16" spans="2:14" x14ac:dyDescent="0.25">
      <c r="B16" s="17">
        <v>0.25</v>
      </c>
      <c r="C16" s="10">
        <f t="shared" si="0"/>
        <v>7</v>
      </c>
      <c r="D16" s="15">
        <f>D15+B16</f>
        <v>1.75</v>
      </c>
      <c r="F16" s="11">
        <v>0.315384281224179</v>
      </c>
      <c r="G16" s="12">
        <f>F16*$G$2*$G$3^3/$G$4^4</f>
        <v>9.4615284367253707E-2</v>
      </c>
      <c r="H16" s="12">
        <v>0.56579689353776397</v>
      </c>
      <c r="I16" s="12">
        <f>H16*$G$2*$G$3^3/$G$4^4</f>
        <v>0.16973906806132921</v>
      </c>
      <c r="K16" s="14">
        <v>1.7576530612244801</v>
      </c>
      <c r="L16" s="15">
        <v>9.4177732379979603E-2</v>
      </c>
      <c r="M16" s="14">
        <v>1.7576530612244801</v>
      </c>
      <c r="N16" s="14">
        <v>0.16281920326864099</v>
      </c>
    </row>
    <row r="17" spans="2:14" x14ac:dyDescent="0.25">
      <c r="B17" s="17">
        <v>0.25</v>
      </c>
      <c r="C17" s="10">
        <f t="shared" si="0"/>
        <v>8</v>
      </c>
      <c r="D17" s="15">
        <f>D16+B17</f>
        <v>2</v>
      </c>
      <c r="F17" s="11">
        <v>0.34964194373770502</v>
      </c>
      <c r="G17" s="12">
        <f>F17*$G$2*$G$3^3/$G$4^4</f>
        <v>0.1048925831213115</v>
      </c>
      <c r="H17" s="12">
        <v>0.61131768836864397</v>
      </c>
      <c r="I17" s="12">
        <f>H17*$G$2*$G$3^3/$G$4^4</f>
        <v>0.18339530651059319</v>
      </c>
      <c r="K17" s="14">
        <v>2.00255102040816</v>
      </c>
      <c r="L17" s="15">
        <v>0.10429009193054101</v>
      </c>
      <c r="M17" s="14">
        <v>2.00255102040816</v>
      </c>
      <c r="N17" s="14">
        <v>0.176915219611848</v>
      </c>
    </row>
    <row r="18" spans="2:14" x14ac:dyDescent="0.25">
      <c r="B18" s="17">
        <v>0.25</v>
      </c>
      <c r="C18" s="10">
        <f t="shared" si="0"/>
        <v>9</v>
      </c>
      <c r="D18" s="15">
        <f>D17+B18</f>
        <v>2.25</v>
      </c>
      <c r="F18" s="11">
        <v>0.38163068478367301</v>
      </c>
      <c r="G18" s="12">
        <f>F18*$G$2*$G$3^3/$G$4^4</f>
        <v>0.11448920543510191</v>
      </c>
      <c r="H18" s="12">
        <v>0.65277746951189497</v>
      </c>
      <c r="I18" s="12">
        <f>H18*$G$2*$G$3^3/$G$4^4</f>
        <v>0.19583324085356851</v>
      </c>
      <c r="K18" s="14">
        <v>2.25510204081632</v>
      </c>
      <c r="L18" s="15">
        <v>0.114096016343207</v>
      </c>
      <c r="M18" s="14">
        <v>2.2474489795918302</v>
      </c>
      <c r="N18" s="14">
        <v>0.190091930541368</v>
      </c>
    </row>
    <row r="19" spans="2:14" x14ac:dyDescent="0.25">
      <c r="B19" s="17">
        <v>0.25</v>
      </c>
      <c r="C19" s="10">
        <f t="shared" si="0"/>
        <v>10</v>
      </c>
      <c r="D19" s="15">
        <f>D18+B19</f>
        <v>2.5</v>
      </c>
      <c r="F19" s="11">
        <v>0.41159784072531902</v>
      </c>
      <c r="G19" s="12">
        <f>F19*$G$2*$G$3^3/$G$4^4</f>
        <v>0.12347935221759571</v>
      </c>
      <c r="H19" s="12">
        <v>0.69091948026220595</v>
      </c>
      <c r="I19" s="12">
        <f>H19*$G$2*$G$3^3/$G$4^4</f>
        <v>0.20727584407866179</v>
      </c>
      <c r="K19" s="14">
        <v>2.5076530612244898</v>
      </c>
      <c r="L19" s="15">
        <v>0.123289070480081</v>
      </c>
      <c r="M19" s="14">
        <v>2.5076530612244898</v>
      </c>
      <c r="N19" s="14">
        <v>0.20234933605720101</v>
      </c>
    </row>
    <row r="20" spans="2:14" x14ac:dyDescent="0.25">
      <c r="B20" s="17">
        <v>0.25</v>
      </c>
      <c r="C20" s="10">
        <f t="shared" si="0"/>
        <v>11</v>
      </c>
      <c r="D20" s="15">
        <f>D19+B20</f>
        <v>2.75</v>
      </c>
      <c r="F20" s="11">
        <v>0.43976713941136197</v>
      </c>
      <c r="G20" s="12">
        <f>F20*$G$2*$G$3^3/$G$4^4</f>
        <v>0.13193014182340859</v>
      </c>
      <c r="H20" s="12">
        <v>0.72630057750333998</v>
      </c>
      <c r="I20" s="12">
        <f>H20*$G$2*$G$3^3/$G$4^4</f>
        <v>0.21789017325100199</v>
      </c>
      <c r="K20" s="14">
        <v>2.75255102040816</v>
      </c>
      <c r="L20" s="15">
        <v>0.13186925434116401</v>
      </c>
      <c r="M20" s="14">
        <v>2.7602040816326499</v>
      </c>
      <c r="N20" s="14">
        <v>0.213074565883554</v>
      </c>
    </row>
    <row r="21" spans="2:14" x14ac:dyDescent="0.25">
      <c r="B21" s="17">
        <v>0.25</v>
      </c>
      <c r="C21" s="10">
        <f t="shared" si="0"/>
        <v>12</v>
      </c>
      <c r="D21" s="15">
        <f>D20+B21</f>
        <v>3</v>
      </c>
      <c r="F21" s="11">
        <v>0.46633606902316599</v>
      </c>
      <c r="G21" s="12">
        <f>F21*$G$2*$G$3^3/$G$4^4</f>
        <v>0.13990082070694979</v>
      </c>
      <c r="H21" s="12">
        <v>0.75934741163671704</v>
      </c>
      <c r="I21" s="12">
        <f>H21*$G$2*$G$3^3/$G$4^4</f>
        <v>0.22780422349101509</v>
      </c>
      <c r="K21" s="14">
        <v>3.00510204081632</v>
      </c>
      <c r="L21" s="15">
        <v>0.14014300306435101</v>
      </c>
      <c r="M21" s="14">
        <v>3.00510204081632</v>
      </c>
      <c r="N21" s="14">
        <v>0.22379979570990799</v>
      </c>
    </row>
    <row r="22" spans="2:14" x14ac:dyDescent="0.25">
      <c r="B22" s="17">
        <v>0.25</v>
      </c>
      <c r="C22" s="10">
        <f t="shared" si="0"/>
        <v>13</v>
      </c>
      <c r="D22" s="15">
        <f>D21+B22</f>
        <v>3.25</v>
      </c>
      <c r="F22" s="11">
        <v>0.491476809417008</v>
      </c>
      <c r="G22" s="12">
        <f>F22*$G$2*$G$3^3/$G$4^4</f>
        <v>0.1474430428251024</v>
      </c>
      <c r="H22" s="12">
        <v>0.7903935476085</v>
      </c>
      <c r="I22" s="12">
        <f>H22*$G$2*$G$3^3/$G$4^4</f>
        <v>0.23711806428255</v>
      </c>
      <c r="K22" s="14">
        <v>3.25</v>
      </c>
      <c r="L22" s="15">
        <v>0.147803881511746</v>
      </c>
      <c r="M22" s="14">
        <v>3.25</v>
      </c>
      <c r="N22" s="14">
        <v>0.233605720122574</v>
      </c>
    </row>
    <row r="23" spans="2:14" x14ac:dyDescent="0.25">
      <c r="B23" s="17">
        <v>0.25</v>
      </c>
      <c r="C23" s="10">
        <f t="shared" si="0"/>
        <v>14</v>
      </c>
      <c r="D23" s="15">
        <f>D22+B23</f>
        <v>3.5</v>
      </c>
      <c r="F23" s="11">
        <v>0.51533864958929099</v>
      </c>
      <c r="G23" s="12">
        <f>F23*$G$2*$G$3^3/$G$4^4</f>
        <v>0.15460159487678729</v>
      </c>
      <c r="H23" s="12">
        <v>0.81970450632275904</v>
      </c>
      <c r="I23" s="12">
        <f>H23*$G$2*$G$3^3/$G$4^4</f>
        <v>0.2459113518968277</v>
      </c>
      <c r="K23" s="14">
        <v>3.50255102040816</v>
      </c>
      <c r="L23" s="15">
        <v>0.15485188968335001</v>
      </c>
      <c r="M23" s="14">
        <v>3.50255102040816</v>
      </c>
      <c r="N23" s="14">
        <v>0.24310520939734401</v>
      </c>
    </row>
    <row r="24" spans="2:14" x14ac:dyDescent="0.25">
      <c r="B24" s="17">
        <v>0.25</v>
      </c>
      <c r="C24" s="10">
        <f t="shared" si="0"/>
        <v>15</v>
      </c>
      <c r="D24" s="15">
        <f>D23+B24</f>
        <v>3.75</v>
      </c>
      <c r="F24" s="11">
        <v>0.53805084213663401</v>
      </c>
      <c r="G24" s="12">
        <f>F24*$G$2*$G$3^3/$G$4^4</f>
        <v>0.16141525264099021</v>
      </c>
      <c r="H24" s="12">
        <v>0.84749563974759101</v>
      </c>
      <c r="I24" s="12">
        <f>H24*$G$2*$G$3^3/$G$4^4</f>
        <v>0.25424869192427735</v>
      </c>
      <c r="K24" s="14">
        <v>3.75510204081632</v>
      </c>
      <c r="L24" s="15">
        <v>0.16189989785495401</v>
      </c>
      <c r="M24" s="14">
        <v>3.75510204081632</v>
      </c>
      <c r="N24" s="14">
        <v>0.25168539325842698</v>
      </c>
    </row>
    <row r="25" spans="2:14" x14ac:dyDescent="0.25">
      <c r="B25" s="17">
        <v>0.25</v>
      </c>
      <c r="C25" s="10">
        <f t="shared" si="0"/>
        <v>16</v>
      </c>
      <c r="D25" s="15">
        <f>D24+B25</f>
        <v>4</v>
      </c>
      <c r="F25" s="11">
        <v>0.55972576573154398</v>
      </c>
      <c r="G25" s="12">
        <f>F25*$G$2*$G$3^3/$G$4^4</f>
        <v>0.16791772971946317</v>
      </c>
      <c r="H25" s="12">
        <v>0.87394175146667596</v>
      </c>
      <c r="I25" s="12">
        <f>H25*$G$2*$G$3^3/$G$4^4</f>
        <v>0.26218252544000281</v>
      </c>
      <c r="K25" s="14">
        <v>4</v>
      </c>
      <c r="L25" s="15">
        <v>0.16864147088866099</v>
      </c>
      <c r="M25" s="14">
        <v>4</v>
      </c>
      <c r="N25" s="14">
        <v>0.26026557711950898</v>
      </c>
    </row>
    <row r="26" spans="2:14" x14ac:dyDescent="0.25">
      <c r="B26" s="17">
        <v>0.25</v>
      </c>
      <c r="C26" s="10">
        <f t="shared" si="0"/>
        <v>17</v>
      </c>
      <c r="D26" s="15">
        <f>D25+B26</f>
        <v>4.25</v>
      </c>
      <c r="F26" s="11">
        <v>0.58045993182612898</v>
      </c>
      <c r="G26" s="12">
        <f>F26*$G$2*$G$3^3/$G$4^4</f>
        <v>0.17413797954783869</v>
      </c>
      <c r="H26" s="12">
        <v>0.89918993566559102</v>
      </c>
      <c r="I26" s="12">
        <f>H26*$G$2*$G$3^3/$G$4^4</f>
        <v>0.2697569806996773</v>
      </c>
      <c r="K26" s="14">
        <v>4.25255102040816</v>
      </c>
      <c r="L26" s="15">
        <v>0.17507660878447401</v>
      </c>
      <c r="M26" s="14">
        <v>4.25255102040816</v>
      </c>
      <c r="N26" s="14">
        <v>0.2682328907048</v>
      </c>
    </row>
    <row r="27" spans="2:14" x14ac:dyDescent="0.25">
      <c r="B27" s="17">
        <v>0.25</v>
      </c>
      <c r="C27" s="10">
        <f t="shared" si="0"/>
        <v>18</v>
      </c>
      <c r="D27" s="15">
        <f>D26+B27</f>
        <v>4.5</v>
      </c>
      <c r="F27" s="11">
        <v>0.600338605322568</v>
      </c>
      <c r="G27" s="12">
        <f>F27*$G$2*$G$3^3/$G$4^4</f>
        <v>0.18010158159677039</v>
      </c>
      <c r="H27" s="12">
        <v>0.92336306666555901</v>
      </c>
      <c r="I27" s="12">
        <f>H27*$G$2*$G$3^3/$G$4^4</f>
        <v>0.2770089199996677</v>
      </c>
      <c r="K27" s="14">
        <v>4.50510204081632</v>
      </c>
      <c r="L27" s="15">
        <v>0.18120531154239</v>
      </c>
      <c r="M27" s="14">
        <v>4.50510204081632</v>
      </c>
      <c r="N27" s="14">
        <v>0.27620020429009101</v>
      </c>
    </row>
    <row r="28" spans="2:14" x14ac:dyDescent="0.25">
      <c r="B28" s="17">
        <v>0.25</v>
      </c>
      <c r="C28" s="10">
        <f t="shared" si="0"/>
        <v>19</v>
      </c>
      <c r="D28" s="15">
        <f>D27+B28</f>
        <v>4.75</v>
      </c>
      <c r="F28" s="11">
        <v>0.61943598368733599</v>
      </c>
      <c r="G28" s="12">
        <f>F28*$G$2*$G$3^3/$G$4^4</f>
        <v>0.18583079510620079</v>
      </c>
      <c r="H28" s="12">
        <v>0.94656538413847002</v>
      </c>
      <c r="I28" s="12">
        <f>H28*$G$2*$G$3^3/$G$4^4</f>
        <v>0.28396961524154102</v>
      </c>
      <c r="K28" s="14">
        <v>4.7576530612244898</v>
      </c>
      <c r="L28" s="15">
        <v>0.18672114402451401</v>
      </c>
      <c r="M28" s="14">
        <v>4.75</v>
      </c>
      <c r="N28" s="14">
        <v>0.28324821246169501</v>
      </c>
    </row>
    <row r="29" spans="2:14" x14ac:dyDescent="0.25">
      <c r="B29" s="17">
        <v>0.25</v>
      </c>
      <c r="C29" s="10">
        <f t="shared" si="0"/>
        <v>20</v>
      </c>
      <c r="D29" s="15">
        <f>D28+B29</f>
        <v>5</v>
      </c>
      <c r="F29" s="11">
        <v>0.637817239087203</v>
      </c>
      <c r="G29" s="12">
        <f>F29*$G$2*$G$3^3/$G$4^4</f>
        <v>0.19134517172616092</v>
      </c>
      <c r="H29" s="12">
        <v>0.96888611444179495</v>
      </c>
      <c r="I29" s="12">
        <f>H29*$G$2*$G$3^3/$G$4^4</f>
        <v>0.29066583433253845</v>
      </c>
      <c r="K29" s="14">
        <v>5.00255102040816</v>
      </c>
      <c r="L29" s="15">
        <v>0.19254341164453501</v>
      </c>
      <c r="M29" s="14">
        <v>5.00255102040816</v>
      </c>
      <c r="N29" s="14">
        <v>0.29029622063329902</v>
      </c>
    </row>
    <row r="30" spans="2:14" x14ac:dyDescent="0.25">
      <c r="B30" s="17">
        <v>0.25</v>
      </c>
      <c r="C30" s="10">
        <f t="shared" si="0"/>
        <v>21</v>
      </c>
      <c r="D30" s="15">
        <f>D29+B30</f>
        <v>5.25</v>
      </c>
      <c r="F30" s="11">
        <v>0.65553984889752703</v>
      </c>
      <c r="G30" s="12">
        <f>F30*$G$2*$G$3^3/$G$4^4</f>
        <v>0.19666195466925812</v>
      </c>
      <c r="H30" s="12">
        <v>0.99040225249179203</v>
      </c>
      <c r="I30" s="12">
        <f>H30*$G$2*$G$3^3/$G$4^4</f>
        <v>0.29712067574753759</v>
      </c>
      <c r="K30" s="14">
        <v>5.2474489795918302</v>
      </c>
      <c r="L30" s="15">
        <v>0.19775280898876399</v>
      </c>
      <c r="M30" s="14">
        <v>5.25510204081632</v>
      </c>
      <c r="N30" s="14">
        <v>0.297037793667007</v>
      </c>
    </row>
    <row r="31" spans="2:14" x14ac:dyDescent="0.25">
      <c r="B31" s="17">
        <v>0.25</v>
      </c>
      <c r="C31" s="10">
        <f t="shared" si="0"/>
        <v>22</v>
      </c>
      <c r="D31" s="15">
        <f>D30+B31</f>
        <v>5.5</v>
      </c>
      <c r="F31" s="11">
        <v>0.67265470921696202</v>
      </c>
      <c r="G31" s="12">
        <f>F31*$G$2*$G$3^3/$G$4^4</f>
        <v>0.20179641276508861</v>
      </c>
      <c r="H31" s="12">
        <v>1.01118072658993</v>
      </c>
      <c r="I31" s="12">
        <f>H31*$G$2*$G$3^3/$G$4^4</f>
        <v>0.30335421797697898</v>
      </c>
      <c r="K31" s="14">
        <v>5.5076530612244898</v>
      </c>
      <c r="L31" s="15">
        <v>0.203268641470888</v>
      </c>
      <c r="M31" s="14">
        <v>5.5</v>
      </c>
      <c r="N31" s="14">
        <v>0.30377936670071498</v>
      </c>
    </row>
    <row r="32" spans="2:14" x14ac:dyDescent="0.25">
      <c r="B32" s="17">
        <v>0.25</v>
      </c>
      <c r="C32" s="10">
        <f t="shared" si="0"/>
        <v>23</v>
      </c>
      <c r="D32" s="15">
        <f>D31+B32</f>
        <v>5.75</v>
      </c>
      <c r="F32" s="11">
        <v>0.68920706695004097</v>
      </c>
      <c r="G32" s="12">
        <f>F32*$G$2*$G$3^3/$G$4^4</f>
        <v>0.20676212008501227</v>
      </c>
      <c r="H32" s="12">
        <v>1.0312801031574499</v>
      </c>
      <c r="I32" s="12">
        <f>H32*$G$2*$G$3^3/$G$4^4</f>
        <v>0.30938403094723499</v>
      </c>
      <c r="K32" s="14">
        <v>5.75255102040816</v>
      </c>
      <c r="L32" s="15">
        <v>0.20817160367722101</v>
      </c>
      <c r="M32" s="14">
        <v>5.75255102040816</v>
      </c>
      <c r="N32" s="14">
        <v>0.310214504596527</v>
      </c>
    </row>
    <row r="33" spans="2:14" x14ac:dyDescent="0.25">
      <c r="B33" s="17">
        <v>0.25</v>
      </c>
      <c r="C33" s="10">
        <f t="shared" si="0"/>
        <v>24</v>
      </c>
      <c r="D33" s="15">
        <f>D32+B33</f>
        <v>6</v>
      </c>
      <c r="F33" s="11">
        <v>0.705237301301195</v>
      </c>
      <c r="G33" s="12">
        <f>F33*$G$2*$G$3^3/$G$4^4</f>
        <v>0.21157119039035849</v>
      </c>
      <c r="H33" s="12">
        <v>1.0507519438255299</v>
      </c>
      <c r="I33" s="12">
        <f>H33*$G$2*$G$3^3/$G$4^4</f>
        <v>0.31522558314765897</v>
      </c>
      <c r="K33" s="14">
        <v>5.9974489795918302</v>
      </c>
      <c r="L33" s="15">
        <v>0.213074565883554</v>
      </c>
      <c r="M33" s="14">
        <v>6.00510204081632</v>
      </c>
      <c r="N33" s="14">
        <v>0.31634320735444299</v>
      </c>
    </row>
    <row r="34" spans="2:14" x14ac:dyDescent="0.25">
      <c r="B34" s="17">
        <v>0.25</v>
      </c>
      <c r="C34" s="10">
        <f t="shared" si="0"/>
        <v>25</v>
      </c>
      <c r="D34" s="15">
        <f>D33+B34</f>
        <v>6.25</v>
      </c>
      <c r="F34" s="11">
        <v>0.720781580686919</v>
      </c>
      <c r="G34" s="12">
        <f>F34*$G$2*$G$3^3/$G$4^4</f>
        <v>0.21623447420607569</v>
      </c>
      <c r="H34" s="12">
        <v>1.06964189661622</v>
      </c>
      <c r="I34" s="12">
        <f>H34*$G$2*$G$3^3/$G$4^4</f>
        <v>0.32089256898486601</v>
      </c>
      <c r="K34" s="14">
        <v>6.2499999999999902</v>
      </c>
      <c r="L34" s="15">
        <v>0.217671092951991</v>
      </c>
      <c r="M34" s="14">
        <v>6.2576530612244801</v>
      </c>
      <c r="N34" s="14">
        <v>0.32247191011235898</v>
      </c>
    </row>
    <row r="35" spans="2:14" x14ac:dyDescent="0.25">
      <c r="B35" s="17">
        <v>0.25</v>
      </c>
      <c r="C35" s="10">
        <f t="shared" si="0"/>
        <v>26</v>
      </c>
      <c r="D35" s="15">
        <f>D34+B35</f>
        <v>6.5</v>
      </c>
      <c r="F35" s="11">
        <v>0.735872416637812</v>
      </c>
      <c r="G35" s="12">
        <f>F35*$G$2*$G$3^3/$G$4^4</f>
        <v>0.22076172499134361</v>
      </c>
      <c r="H35" s="12">
        <v>1.0879905814236699</v>
      </c>
      <c r="I35" s="12">
        <f>H35*$G$2*$G$3^3/$G$4^4</f>
        <v>0.32639717442710098</v>
      </c>
      <c r="K35" s="14">
        <v>6.50255102040816</v>
      </c>
      <c r="L35" s="15">
        <v>0.22257405515832401</v>
      </c>
      <c r="M35" s="14">
        <v>6.50255102040816</v>
      </c>
      <c r="N35" s="14">
        <v>0.32798774259448399</v>
      </c>
    </row>
    <row r="36" spans="2:14" x14ac:dyDescent="0.25">
      <c r="B36" s="17">
        <v>0.25</v>
      </c>
      <c r="C36" s="10">
        <f t="shared" si="0"/>
        <v>27</v>
      </c>
      <c r="D36" s="15">
        <f>D35+B36</f>
        <v>6.75</v>
      </c>
      <c r="F36" s="11">
        <v>0.750539132471012</v>
      </c>
      <c r="G36" s="12">
        <f>F36*$G$2*$G$3^3/$G$4^4</f>
        <v>0.22516173974130357</v>
      </c>
      <c r="H36" s="12">
        <v>1.1058343146960199</v>
      </c>
      <c r="I36" s="12">
        <f>H36*$G$2*$G$3^3/$G$4^4</f>
        <v>0.33175029440880599</v>
      </c>
      <c r="K36" s="14">
        <v>6.75510204081632</v>
      </c>
      <c r="L36" s="15">
        <v>0.22717058222676201</v>
      </c>
      <c r="M36" s="14">
        <v>6.75510204081632</v>
      </c>
      <c r="N36" s="14">
        <v>0.33381001021450402</v>
      </c>
    </row>
    <row r="37" spans="2:14" x14ac:dyDescent="0.25">
      <c r="B37" s="17">
        <v>0.25</v>
      </c>
      <c r="C37" s="10">
        <f t="shared" si="0"/>
        <v>28</v>
      </c>
      <c r="D37" s="15">
        <f>D36+B37</f>
        <v>7</v>
      </c>
      <c r="F37" s="11">
        <v>0.76480826129817103</v>
      </c>
      <c r="G37" s="12">
        <f>F37*$G$2*$G$3^3/$G$4^4</f>
        <v>0.22944247838945131</v>
      </c>
      <c r="H37" s="12">
        <v>1.1232057072007</v>
      </c>
      <c r="I37" s="12">
        <f>H37*$G$2*$G$3^3/$G$4^4</f>
        <v>0.33696171216021004</v>
      </c>
      <c r="K37" s="14">
        <v>7</v>
      </c>
      <c r="L37" s="15">
        <v>0.23146067415730301</v>
      </c>
      <c r="M37" s="14">
        <v>7</v>
      </c>
      <c r="N37" s="14">
        <v>0.33932584269662902</v>
      </c>
    </row>
    <row r="38" spans="2:14" x14ac:dyDescent="0.25">
      <c r="B38" s="17">
        <v>0.25</v>
      </c>
      <c r="C38" s="10">
        <f t="shared" si="0"/>
        <v>29</v>
      </c>
      <c r="D38" s="15">
        <f>D37+B38</f>
        <v>7.25</v>
      </c>
      <c r="F38" s="11">
        <v>0.778703885303757</v>
      </c>
      <c r="G38" s="12">
        <f>F38*$G$2*$G$3^3/$G$4^4</f>
        <v>0.2336111655911271</v>
      </c>
      <c r="H38" s="12">
        <v>1.14013416070795</v>
      </c>
      <c r="I38" s="12">
        <f>H38*$G$2*$G$3^3/$G$4^4</f>
        <v>0.34204024821238505</v>
      </c>
      <c r="K38" s="14">
        <v>7.25255102040816</v>
      </c>
      <c r="L38" s="15">
        <v>0.23575076608784401</v>
      </c>
      <c r="M38" s="14">
        <v>7.25255102040816</v>
      </c>
      <c r="N38" s="14">
        <v>0.34484167517875303</v>
      </c>
    </row>
    <row r="39" spans="2:14" x14ac:dyDescent="0.25">
      <c r="B39" s="17">
        <v>0.25</v>
      </c>
      <c r="C39" s="10">
        <f t="shared" si="0"/>
        <v>30</v>
      </c>
      <c r="D39" s="15">
        <f>D38+B39</f>
        <v>7.5</v>
      </c>
      <c r="F39" s="11">
        <v>0.79224792604471805</v>
      </c>
      <c r="G39" s="12">
        <f>F39*$G$2*$G$3^3/$G$4^4</f>
        <v>0.23767437781341541</v>
      </c>
      <c r="H39" s="12">
        <v>1.15664628349448</v>
      </c>
      <c r="I39" s="12">
        <f>H39*$G$2*$G$3^3/$G$4^4</f>
        <v>0.346993885048344</v>
      </c>
      <c r="K39" s="14">
        <v>7.50510204081632</v>
      </c>
      <c r="L39" s="15">
        <v>0.23973442288048999</v>
      </c>
      <c r="M39" s="14">
        <v>7.50510204081632</v>
      </c>
      <c r="N39" s="14">
        <v>0.34974463738508599</v>
      </c>
    </row>
    <row r="40" spans="2:14" x14ac:dyDescent="0.25">
      <c r="B40" s="17">
        <v>0.25</v>
      </c>
      <c r="C40" s="10">
        <f t="shared" si="0"/>
        <v>31</v>
      </c>
      <c r="D40" s="15">
        <f>D39+B40</f>
        <v>7.75</v>
      </c>
      <c r="F40" s="11">
        <v>0.80546039378425804</v>
      </c>
      <c r="G40" s="12">
        <f>F40*$G$2*$G$3^3/$G$4^4</f>
        <v>0.24163811813527741</v>
      </c>
      <c r="H40" s="12">
        <v>1.1727662401363601</v>
      </c>
      <c r="I40" s="12">
        <f>H40*$G$2*$G$3^3/$G$4^4</f>
        <v>0.35182987204090804</v>
      </c>
      <c r="K40" s="14">
        <v>7.75</v>
      </c>
      <c r="L40" s="15">
        <v>0.243718079673135</v>
      </c>
      <c r="M40" s="14">
        <v>7.75</v>
      </c>
      <c r="N40" s="14">
        <v>0.35495403472931503</v>
      </c>
    </row>
    <row r="41" spans="2:14" x14ac:dyDescent="0.25">
      <c r="B41" s="17">
        <v>0.25</v>
      </c>
      <c r="C41" s="10">
        <f t="shared" si="0"/>
        <v>32</v>
      </c>
      <c r="D41" s="15">
        <f>D40+B41</f>
        <v>8</v>
      </c>
      <c r="F41" s="11">
        <v>0.81835960243272099</v>
      </c>
      <c r="G41" s="12">
        <f>F41*$G$2*$G$3^3/$G$4^4</f>
        <v>0.2455078807298163</v>
      </c>
      <c r="H41" s="12">
        <v>1.1885160477300101</v>
      </c>
      <c r="I41" s="12">
        <f>H41*$G$2*$G$3^3/$G$4^4</f>
        <v>0.35655481431900299</v>
      </c>
      <c r="M41" s="7">
        <v>8.0025510204081591</v>
      </c>
      <c r="N41" s="7">
        <v>0.35985699693564799</v>
      </c>
    </row>
    <row r="42" spans="2:14" x14ac:dyDescent="0.25">
      <c r="B42" s="17">
        <v>0.25</v>
      </c>
      <c r="C42" s="10">
        <f t="shared" si="0"/>
        <v>33</v>
      </c>
      <c r="D42" s="15">
        <f>D41+B42</f>
        <v>8.25</v>
      </c>
      <c r="F42" s="11">
        <v>0.83096235550893605</v>
      </c>
      <c r="G42" s="12">
        <f>F42*$G$2*$G$3^3/$G$4^4</f>
        <v>0.24928870665268082</v>
      </c>
      <c r="H42" s="12">
        <v>1.2039158281325399</v>
      </c>
      <c r="I42" s="12">
        <f>H42*$G$2*$G$3^3/$G$4^4</f>
        <v>0.36117474843976199</v>
      </c>
      <c r="M42" s="7">
        <v>8.25510204081632</v>
      </c>
      <c r="N42" s="7">
        <v>0.36475995914198101</v>
      </c>
    </row>
    <row r="43" spans="2:14" x14ac:dyDescent="0.25">
      <c r="B43" s="17">
        <v>0.25</v>
      </c>
      <c r="C43" s="10">
        <f t="shared" si="0"/>
        <v>34</v>
      </c>
      <c r="D43" s="15">
        <f>D42+B43</f>
        <v>8.5</v>
      </c>
      <c r="F43" s="11">
        <v>0.84328410759765904</v>
      </c>
      <c r="G43" s="12">
        <f>F43*$G$2*$G$3^3/$G$4^4</f>
        <v>0.2529852322792977</v>
      </c>
      <c r="H43" s="12">
        <v>1.2189840238673499</v>
      </c>
      <c r="I43" s="12">
        <f>H43*$G$2*$G$3^3/$G$4^4</f>
        <v>0.36569520716020493</v>
      </c>
    </row>
    <row r="44" spans="2:14" x14ac:dyDescent="0.25">
      <c r="B44" s="17">
        <v>0.25</v>
      </c>
      <c r="C44" s="10">
        <f t="shared" si="0"/>
        <v>35</v>
      </c>
      <c r="D44" s="15">
        <f>D43+B44</f>
        <v>8.75</v>
      </c>
      <c r="F44" s="11">
        <v>0.85533910501518395</v>
      </c>
      <c r="G44" s="12">
        <f>F44*$G$2*$G$3^3/$G$4^4</f>
        <v>0.25660173150455517</v>
      </c>
      <c r="H44" s="12">
        <v>1.2337375838295199</v>
      </c>
      <c r="I44" s="12">
        <f>H44*$G$2*$G$3^3/$G$4^4</f>
        <v>0.37012127514885595</v>
      </c>
    </row>
    <row r="45" spans="2:14" x14ac:dyDescent="0.25">
      <c r="B45" s="17">
        <v>0.25</v>
      </c>
      <c r="C45" s="10">
        <f t="shared" si="0"/>
        <v>36</v>
      </c>
      <c r="D45" s="15">
        <f>D44+B45</f>
        <v>9</v>
      </c>
      <c r="F45" s="11">
        <v>0.86714050875835502</v>
      </c>
      <c r="G45" s="12">
        <f>F45*$G$2*$G$3^3/$G$4^4</f>
        <v>0.26014215262750651</v>
      </c>
      <c r="H45" s="12">
        <v>1.24819212374919</v>
      </c>
      <c r="I45" s="12">
        <f>H45*$G$2*$G$3^3/$G$4^4</f>
        <v>0.37445763712475705</v>
      </c>
    </row>
    <row r="46" spans="2:14" x14ac:dyDescent="0.25">
      <c r="B46" s="17">
        <v>0.25</v>
      </c>
      <c r="C46" s="10">
        <f t="shared" si="0"/>
        <v>37</v>
      </c>
      <c r="D46" s="15">
        <f>D45+B46</f>
        <v>9.25</v>
      </c>
      <c r="F46" s="11">
        <v>0.87870050232013697</v>
      </c>
      <c r="G46" s="12">
        <f>F46*$G$2*$G$3^3/$G$4^4</f>
        <v>0.2636101506960411</v>
      </c>
      <c r="H46" s="12">
        <v>1.26236206544142</v>
      </c>
      <c r="I46" s="12">
        <f>H46*$G$2*$G$3^3/$G$4^4</f>
        <v>0.37870861963242597</v>
      </c>
    </row>
    <row r="47" spans="2:14" x14ac:dyDescent="0.25">
      <c r="B47" s="17">
        <v>0.25</v>
      </c>
      <c r="C47" s="10">
        <f t="shared" si="0"/>
        <v>38</v>
      </c>
      <c r="D47" s="15">
        <f>D46+B47</f>
        <v>9.5</v>
      </c>
      <c r="F47" s="11">
        <v>0.89003038652369404</v>
      </c>
      <c r="G47" s="12">
        <f>F47*$G$2*$G$3^3/$G$4^4</f>
        <v>0.26700911595710819</v>
      </c>
      <c r="H47" s="12">
        <v>1.27626075814151</v>
      </c>
      <c r="I47" s="12">
        <f>H47*$G$2*$G$3^3/$G$4^4</f>
        <v>0.38287822744245298</v>
      </c>
    </row>
    <row r="48" spans="2:14" x14ac:dyDescent="0.25">
      <c r="B48" s="17">
        <v>0.25</v>
      </c>
      <c r="C48" s="10">
        <f t="shared" si="0"/>
        <v>39</v>
      </c>
      <c r="D48" s="15">
        <f>D47+B48</f>
        <v>9.75</v>
      </c>
      <c r="F48" s="11">
        <v>0.90114066318390595</v>
      </c>
      <c r="G48" s="12">
        <f>F48*$G$2*$G$3^3/$G$4^4</f>
        <v>0.27034219895517175</v>
      </c>
      <c r="H48" s="12">
        <v>1.2899005846379701</v>
      </c>
      <c r="I48" s="12">
        <f>H48*$G$2*$G$3^3/$G$4^4</f>
        <v>0.386970175391391</v>
      </c>
    </row>
    <row r="49" spans="2:9" x14ac:dyDescent="0.25">
      <c r="B49" s="17">
        <v>0.25</v>
      </c>
      <c r="C49" s="10">
        <f t="shared" si="0"/>
        <v>40</v>
      </c>
      <c r="D49" s="15">
        <f>D48+B49</f>
        <v>10</v>
      </c>
      <c r="F49" s="11">
        <v>0.91204110912772496</v>
      </c>
      <c r="G49" s="12">
        <f>F49*$G$2*$G$3^3/$G$4^4</f>
        <v>0.27361233273831748</v>
      </c>
      <c r="H49" s="12">
        <v>1.3032930544449399</v>
      </c>
      <c r="I49" s="12">
        <f>H49*$G$2*$G$3^3/$G$4^4</f>
        <v>0.39098791633348196</v>
      </c>
    </row>
    <row r="50" spans="2:9" x14ac:dyDescent="0.25">
      <c r="B50" s="8"/>
    </row>
    <row r="51" spans="2:9" x14ac:dyDescent="0.25">
      <c r="B51" s="8"/>
    </row>
    <row r="52" spans="2:9" x14ac:dyDescent="0.25">
      <c r="B52" s="8"/>
    </row>
    <row r="53" spans="2:9" x14ac:dyDescent="0.25">
      <c r="B53" s="8"/>
    </row>
    <row r="54" spans="2:9" x14ac:dyDescent="0.25">
      <c r="B54" s="8"/>
    </row>
  </sheetData>
  <mergeCells count="6">
    <mergeCell ref="K6:N6"/>
    <mergeCell ref="F6:I6"/>
    <mergeCell ref="F7:G7"/>
    <mergeCell ref="H7:I7"/>
    <mergeCell ref="K7:L7"/>
    <mergeCell ref="M7:N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1E02-ED79-47CB-A0C8-EB0FE05EBE58}">
  <dimension ref="A1"/>
  <sheetViews>
    <sheetView workbookViewId="0">
      <selection activeCell="P13" sqref="P1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Heblekar, Tanmaye</dc:creator>
  <cp:lastModifiedBy>Heblekar, Tanmaye</cp:lastModifiedBy>
  <dcterms:created xsi:type="dcterms:W3CDTF">2025-11-06T23:33:33Z</dcterms:created>
  <dcterms:modified xsi:type="dcterms:W3CDTF">2025-11-07T01:52:59Z</dcterms:modified>
</cp:coreProperties>
</file>